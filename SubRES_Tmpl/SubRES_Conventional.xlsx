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bRES_Tmpl\"/>
    </mc:Choice>
  </mc:AlternateContent>
  <xr:revisionPtr revIDLastSave="0" documentId="8_{15868809-D3D4-4BA5-98DA-25088C8DE38B}" xr6:coauthVersionLast="47" xr6:coauthVersionMax="47" xr10:uidLastSave="{00000000-0000-0000-0000-000000000000}"/>
  <bookViews>
    <workbookView xWindow="-98" yWindow="-98" windowWidth="28996" windowHeight="17475" firstSheet="1" activeTab="3" xr2:uid="{771E8113-B0DD-4084-9AFC-EDF1FCFDFF26}"/>
  </bookViews>
  <sheets>
    <sheet name="conventional" sheetId="2" r:id="rId1"/>
    <sheet name="H2 prod" sheetId="3" r:id="rId2"/>
    <sheet name="EV Battery" sheetId="4" r:id="rId3"/>
    <sheet name="misc" sheetId="5" r:id="rId4"/>
  </sheets>
  <externalReferences>
    <externalReference r:id="rId5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9" i="5" l="1"/>
  <c r="J29" i="5"/>
  <c r="L28" i="5"/>
  <c r="J28" i="5"/>
  <c r="O27" i="5"/>
  <c r="J27" i="5"/>
  <c r="O26" i="5"/>
  <c r="J26" i="5"/>
  <c r="O25" i="5"/>
  <c r="J25" i="5"/>
  <c r="O24" i="5"/>
  <c r="J24" i="5"/>
  <c r="O23" i="5"/>
  <c r="O22" i="5"/>
  <c r="O21" i="5"/>
  <c r="J21" i="5"/>
  <c r="O20" i="5"/>
  <c r="O19" i="5"/>
  <c r="O18" i="5"/>
  <c r="J18" i="5"/>
  <c r="J17" i="5"/>
  <c r="J16" i="5"/>
  <c r="J15" i="5"/>
  <c r="J14" i="5"/>
  <c r="J13" i="5"/>
  <c r="G8" i="4"/>
  <c r="S5" i="4"/>
  <c r="L5" i="4"/>
  <c r="V29" i="3"/>
  <c r="U29" i="3"/>
  <c r="T29" i="3"/>
  <c r="N29" i="3"/>
  <c r="L29" i="3"/>
  <c r="J29" i="3"/>
  <c r="H29" i="3"/>
  <c r="G29" i="3"/>
  <c r="F29" i="3"/>
  <c r="D29" i="3"/>
  <c r="C29" i="3"/>
  <c r="V28" i="3"/>
  <c r="U28" i="3"/>
  <c r="T28" i="3"/>
  <c r="N28" i="3"/>
  <c r="L28" i="3"/>
  <c r="J28" i="3"/>
  <c r="H28" i="3"/>
  <c r="G28" i="3"/>
  <c r="F28" i="3"/>
  <c r="D28" i="3"/>
  <c r="C28" i="3"/>
  <c r="N27" i="3"/>
  <c r="L27" i="3"/>
  <c r="I27" i="3"/>
  <c r="E27" i="3"/>
  <c r="D27" i="3"/>
  <c r="C27" i="3"/>
  <c r="H3" i="3"/>
  <c r="H27" i="3" s="1"/>
  <c r="G3" i="3"/>
  <c r="G27" i="3" s="1"/>
  <c r="F3" i="3"/>
  <c r="F27" i="3" s="1"/>
  <c r="K2" i="3"/>
  <c r="M2" i="3" s="1"/>
  <c r="M27" i="3" s="1"/>
  <c r="K27" i="3" l="1"/>
</calcChain>
</file>

<file path=xl/sharedStrings.xml><?xml version="1.0" encoding="utf-8"?>
<sst xmlns="http://schemas.openxmlformats.org/spreadsheetml/2006/main" count="838" uniqueCount="215">
  <si>
    <t>VERVESTACKS - the open USE platform · Powered by data · Shaped by vision · Guided by intuition · Fueled by passion</t>
  </si>
  <si>
    <t>~fi_t: UP</t>
  </si>
  <si>
    <t>~fi_process</t>
  </si>
  <si>
    <t>process</t>
  </si>
  <si>
    <t>comm-in</t>
  </si>
  <si>
    <t>comm-out</t>
  </si>
  <si>
    <t>attribute</t>
  </si>
  <si>
    <t>other_indexes</t>
  </si>
  <si>
    <t>time_slice</t>
  </si>
  <si>
    <t>set</t>
  </si>
  <si>
    <t>description</t>
  </si>
  <si>
    <t>capacity_unit</t>
  </si>
  <si>
    <t>activity_unit</t>
  </si>
  <si>
    <t>timeslicelevel</t>
  </si>
  <si>
    <t>vintage</t>
  </si>
  <si>
    <t>pcg</t>
  </si>
  <si>
    <t>en_gas_ccgt</t>
  </si>
  <si>
    <t>gas</t>
  </si>
  <si>
    <t>ELC</t>
  </si>
  <si>
    <t>ncap_cost</t>
  </si>
  <si>
    <t>ele</t>
  </si>
  <si>
    <t>Natural gas CCGT, electricity-only. Derived from DEA el&amp;dh 05 CHP condensing mode (3% cost reduction for no heat equipment), regionalized with IEA CCGT ratios</t>
  </si>
  <si>
    <t>GW</t>
  </si>
  <si>
    <t>TWh</t>
  </si>
  <si>
    <t>daynite</t>
  </si>
  <si>
    <t>yes</t>
  </si>
  <si>
    <t>ncap_fom</t>
  </si>
  <si>
    <t>en_gas_turbine</t>
  </si>
  <si>
    <t>Natural gas open-cycle combustion turbine. IEA GEC</t>
  </si>
  <si>
    <t>act_cost</t>
  </si>
  <si>
    <t>CHP</t>
  </si>
  <si>
    <t>en_chp_gas_cc_ext</t>
  </si>
  <si>
    <t>Gas combined cycle CHP, steam extraction (large). DEA el&amp;dh 05</t>
  </si>
  <si>
    <t>efficiency</t>
  </si>
  <si>
    <t>en_gas_ccs</t>
  </si>
  <si>
    <t>Natural gas CCGT with post-combustion CCS. IEA GEC</t>
  </si>
  <si>
    <t>ncap_tlife</t>
  </si>
  <si>
    <t>en_coal_subcritical</t>
  </si>
  <si>
    <t>Coal subcritical steam cycle. IEA GEC</t>
  </si>
  <si>
    <t>ncap_iled</t>
  </si>
  <si>
    <t>en_coal_supercritical</t>
  </si>
  <si>
    <t>Coal supercritical steam cycle. IEA GEC</t>
  </si>
  <si>
    <t>en_coal_ultrasupercritical</t>
  </si>
  <si>
    <t>Coal ultra-supercritical steam cycle. IEA GEC</t>
  </si>
  <si>
    <t>en_coal_igcc</t>
  </si>
  <si>
    <t>Coal integrated gasification combined cycle. IEA GEC</t>
  </si>
  <si>
    <t>en_nuclear</t>
  </si>
  <si>
    <t>Nuclear large reactor (Gen III/III+). IEA GEC</t>
  </si>
  <si>
    <t>en_nuclear_smr</t>
  </si>
  <si>
    <t>Nuclear small modular reactor. ATB</t>
  </si>
  <si>
    <t>en_biomass</t>
  </si>
  <si>
    <t>Biomass dedicated large-scale. IEA GEC</t>
  </si>
  <si>
    <t>en_chp_biomass_chips_ext</t>
  </si>
  <si>
    <t>Wood-chips CHP, steam extraction (large). DEA el&amp;dh 09a</t>
  </si>
  <si>
    <t>HET</t>
  </si>
  <si>
    <t>HPL</t>
  </si>
  <si>
    <t>en_hop_gas_boiler</t>
  </si>
  <si>
    <t>Natural gas DH boiler (medium). DEA el&amp;dh 44. Heat capacity basis</t>
  </si>
  <si>
    <t>season</t>
  </si>
  <si>
    <t>en_hop_biomass_chips</t>
  </si>
  <si>
    <t>Wood-chips DH boiler (large). DEA el&amp;dh 09a. Heat capacity basis</t>
  </si>
  <si>
    <t>en_hop_electric_boiler</t>
  </si>
  <si>
    <t>Electric DH boiler (large). DEA el&amp;dh 41. Heat capacity basis; region-uniform</t>
  </si>
  <si>
    <t>en_hp_air_10mw</t>
  </si>
  <si>
    <t>Utility heat pump, air source, 10 MW, 70/35C DH. DEA el&amp;dh 40. heat_efficiency = COP; component split preserved</t>
  </si>
  <si>
    <t>STG</t>
  </si>
  <si>
    <t>en_battery_4h</t>
  </si>
  <si>
    <t>Utility-scale Li-ion battery, 4-hour duration. ATB</t>
  </si>
  <si>
    <t>NRGI</t>
  </si>
  <si>
    <t>en_battery_8h</t>
  </si>
  <si>
    <t>Utility-scale Li-ion battery, 8-hour duration. ATB</t>
  </si>
  <si>
    <t>ncap_chpr</t>
  </si>
  <si>
    <t>en_chp_gas_cc_ext_ccs</t>
  </si>
  <si>
    <t>Gas combined cycle CHP with post-combustion CCS. Synthetic (DEA 05 + GEC gas CCS)</t>
  </si>
  <si>
    <t>ncap_ceh</t>
  </si>
  <si>
    <t>ELC,CO2Cap</t>
  </si>
  <si>
    <t>coal</t>
  </si>
  <si>
    <t>nuclear</t>
  </si>
  <si>
    <t>bioenergy</t>
  </si>
  <si>
    <t>ncap_af</t>
  </si>
  <si>
    <t>stg_eff</t>
  </si>
  <si>
    <t>ncap_afc</t>
  </si>
  <si>
    <t>ACT</t>
  </si>
  <si>
    <t>DAYNITE</t>
  </si>
  <si>
    <t>NRG</t>
  </si>
  <si>
    <t>prc_capact</t>
  </si>
  <si>
    <t>ncap_pkcnt</t>
  </si>
  <si>
    <t>ANNUAL</t>
  </si>
  <si>
    <t>HET,CO2Cap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</si>
  <si>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</si>
  <si>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</si>
  <si>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</si>
  <si>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</si>
  <si>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</si>
  <si>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invcost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</si>
  <si>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</si>
  <si>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</si>
  <si>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</si>
  <si>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</si>
  <si>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</si>
  <si>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</si>
  <si>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</si>
  <si>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</si>
  <si>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</si>
  <si>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</si>
  <si>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</si>
  <si>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</si>
  <si>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</si>
  <si>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</si>
  <si>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</si>
  <si>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</si>
  <si>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</si>
  <si>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</si>
  <si>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</si>
  <si>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</si>
  <si>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</si>
  <si>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</si>
  <si>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</si>
  <si>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</si>
  <si>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</si>
  <si>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</si>
  <si>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</si>
  <si>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</si>
  <si>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</si>
  <si>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~FI_Process</t>
  </si>
  <si>
    <t>Comm-OUT</t>
  </si>
  <si>
    <t>Comm-IN</t>
  </si>
  <si>
    <t>TechName</t>
  </si>
  <si>
    <t>LIFE</t>
  </si>
  <si>
    <t>Cap2Act</t>
  </si>
  <si>
    <t>Sets</t>
  </si>
  <si>
    <t>TechDesc</t>
  </si>
  <si>
    <t>Tcap</t>
  </si>
  <si>
    <t>Tact</t>
  </si>
  <si>
    <t>Tslvl</t>
  </si>
  <si>
    <t>Vintage</t>
  </si>
  <si>
    <t>hydrogen</t>
  </si>
  <si>
    <t>ELC,ELCCurt</t>
  </si>
  <si>
    <t>H2prd_Elc_PEM</t>
  </si>
  <si>
    <t>Yes</t>
  </si>
  <si>
    <t>H2prd_Elc_ALK</t>
  </si>
  <si>
    <t>~FI_T: FX</t>
  </si>
  <si>
    <t>Comm-OUT-A</t>
  </si>
  <si>
    <t>CommGrp</t>
  </si>
  <si>
    <t>commodity</t>
  </si>
  <si>
    <t>Attribute</t>
  </si>
  <si>
    <t>S_EFF</t>
  </si>
  <si>
    <t>AFC~DAYNITE~UP</t>
  </si>
  <si>
    <t>CAP2ACT</t>
  </si>
  <si>
    <t>Peak</t>
  </si>
  <si>
    <t>PrimaryCG</t>
  </si>
  <si>
    <t>ev_battery</t>
  </si>
  <si>
    <t>Car battery - 6kw/60Kwh - with V2G (optional)</t>
  </si>
  <si>
    <t>elc_roadtransport</t>
  </si>
  <si>
    <t>AuxStoIN</t>
  </si>
  <si>
    <t>ELC_BatIn</t>
  </si>
  <si>
    <t>FLO_FUNC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</si>
  <si>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</si>
  <si>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</si>
  <si>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</si>
  <si>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</si>
  <si>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</si>
  <si>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</si>
  <si>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</si>
  <si>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</si>
  <si>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</si>
  <si>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ENV</t>
  </si>
  <si>
    <t>Aux commodity for storage charging</t>
  </si>
  <si>
    <t>PJ</t>
  </si>
  <si>
    <t>AuxStoOUT</t>
  </si>
  <si>
    <t>Aux commodity for storage discharging</t>
  </si>
  <si>
    <t>~FI_T: USD25~FX~ACT_BND</t>
  </si>
  <si>
    <t>TAct</t>
  </si>
  <si>
    <t>TCap</t>
  </si>
  <si>
    <t>Process</t>
  </si>
  <si>
    <t>EFF</t>
  </si>
  <si>
    <t>Cap2ACT</t>
  </si>
  <si>
    <t>flo_cost</t>
  </si>
  <si>
    <t>life</t>
  </si>
  <si>
    <t>ELE</t>
  </si>
  <si>
    <t>ElcAgg_Solar</t>
  </si>
  <si>
    <t>ElcAgg_Wind</t>
  </si>
  <si>
    <t>DMD</t>
  </si>
  <si>
    <t>e_demand</t>
  </si>
  <si>
    <t>Demand sectors</t>
  </si>
  <si>
    <t>elc_buildings,elc_industry,elc_transport</t>
  </si>
  <si>
    <t>$/GJ</t>
  </si>
  <si>
    <t>h2_demand</t>
  </si>
  <si>
    <t>Hydrogen demand</t>
  </si>
  <si>
    <t>hydrogen_allsect</t>
  </si>
  <si>
    <t>h_demand</t>
  </si>
  <si>
    <t>Heat demand</t>
  </si>
  <si>
    <t>het_buildings,het_industry</t>
  </si>
  <si>
    <t>IMP</t>
  </si>
  <si>
    <t>Trd_electricity import</t>
  </si>
  <si>
    <t>EXP</t>
  </si>
  <si>
    <t>Trd_electricity export</t>
  </si>
  <si>
    <t>fossil_supply</t>
  </si>
  <si>
    <t>generic fuel supply</t>
  </si>
  <si>
    <t>oil</t>
  </si>
  <si>
    <t>renewable</t>
  </si>
  <si>
    <t>hydro and geothermal</t>
  </si>
  <si>
    <t>geothermal</t>
  </si>
  <si>
    <t>nuclear_fuel</t>
  </si>
  <si>
    <t>Nuclear fuel supply</t>
  </si>
  <si>
    <t>hydro</t>
  </si>
  <si>
    <t>solar_potential</t>
  </si>
  <si>
    <t>solar potential</t>
  </si>
  <si>
    <t>winon_potential</t>
  </si>
  <si>
    <t>wind onshore potential</t>
  </si>
  <si>
    <t>winoff_potential</t>
  </si>
  <si>
    <t>wnid offshore potential</t>
  </si>
  <si>
    <t>solar</t>
  </si>
  <si>
    <t>windon</t>
  </si>
  <si>
    <t>windoff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</si>
</sst>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\Te\x\t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b/>
      <i/>
      <sz val="11"/>
      <color theme="1"/>
      <name val="游ゴシック"/>
    </font>
    <font>
      <sz val="10"/>
      <name val="STKFLOW - 14 of 38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0"/>
    <xf numFmtId="0" fontId="17" fillId="0" borderId="0"/>
  </cellStyleXfs>
  <cellXfs count="147">
    <xf numFmtId="0" fontId="0" fillId="0" borderId="0" xfId="0"/>
    <xf numFmtId="0" fontId="8" fillId="5" borderId="3" xfId="0" applyFont="1" applyFill="1" applyBorder="1" applyAlignment="1">
      <alignment horizontal="left" vertical="center"/>
    </xf>
    <xf numFmtId="0" fontId="9" fillId="0" borderId="0" xfId="0" applyFont="1"/>
    <xf numFmtId="0" fontId="10" fillId="6" borderId="4" xfId="0" applyFont="1" applyFill="1" applyBorder="1"/>
    <xf numFmtId="0" fontId="11" fillId="7" borderId="3" xfId="0" applyFont="1" applyFill="1" applyBorder="1"/>
    <xf numFmtId="164" fontId="11" fillId="7" borderId="3" xfId="0" applyNumberFormat="1" applyFont="1" applyFill="1" applyBorder="1"/>
    <xf numFmtId="0" fontId="11" fillId="0" borderId="3" xfId="0" applyFont="1" applyBorder="1"/>
    <xf numFmtId="164" fontId="11" fillId="0" borderId="3" xfId="0" applyNumberFormat="1" applyFont="1" applyBorder="1"/>
    <xf numFmtId="0" fontId="12" fillId="8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6" fillId="4" borderId="0" xfId="6" applyBorder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 wrapText="1"/>
    </xf>
    <xf numFmtId="0" fontId="12" fillId="8" borderId="9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left" vertical="center" wrapText="1"/>
    </xf>
    <xf numFmtId="0" fontId="12" fillId="8" borderId="11" xfId="0" applyFont="1" applyFill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center" vertical="center"/>
    </xf>
    <xf numFmtId="0" fontId="13" fillId="9" borderId="0" xfId="0" applyFont="1" applyFill="1" applyAlignment="1">
      <alignment vertical="center"/>
    </xf>
    <xf numFmtId="164" fontId="13" fillId="9" borderId="9" xfId="0" applyNumberFormat="1" applyFont="1" applyFill="1" applyBorder="1" applyAlignment="1">
      <alignment vertical="center"/>
    </xf>
    <xf numFmtId="164" fontId="13" fillId="9" borderId="0" xfId="0" applyNumberFormat="1" applyFont="1" applyFill="1" applyAlignment="1">
      <alignment vertical="center"/>
    </xf>
    <xf numFmtId="164" fontId="13" fillId="9" borderId="10" xfId="0" applyNumberFormat="1" applyFont="1" applyFill="1" applyBorder="1" applyAlignment="1">
      <alignment vertical="center"/>
    </xf>
    <xf numFmtId="2" fontId="13" fillId="9" borderId="0" xfId="0" applyNumberFormat="1" applyFont="1" applyFill="1" applyAlignment="1">
      <alignment vertical="center"/>
    </xf>
    <xf numFmtId="2" fontId="13" fillId="9" borderId="11" xfId="0" applyNumberFormat="1" applyFont="1" applyFill="1" applyBorder="1" applyAlignment="1">
      <alignment vertical="center"/>
    </xf>
    <xf numFmtId="2" fontId="13" fillId="9" borderId="12" xfId="0" applyNumberFormat="1" applyFont="1" applyFill="1" applyBorder="1" applyAlignment="1">
      <alignment vertical="center"/>
    </xf>
    <xf numFmtId="0" fontId="13" fillId="9" borderId="13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10" borderId="0" xfId="0" applyFont="1" applyFill="1" applyAlignment="1">
      <alignment vertical="center"/>
    </xf>
    <xf numFmtId="164" fontId="13" fillId="10" borderId="9" xfId="0" applyNumberFormat="1" applyFont="1" applyFill="1" applyBorder="1" applyAlignment="1">
      <alignment vertical="center"/>
    </xf>
    <xf numFmtId="164" fontId="13" fillId="10" borderId="0" xfId="0" applyNumberFormat="1" applyFont="1" applyFill="1" applyAlignment="1">
      <alignment vertical="center"/>
    </xf>
    <xf numFmtId="164" fontId="13" fillId="10" borderId="10" xfId="0" applyNumberFormat="1" applyFont="1" applyFill="1" applyBorder="1" applyAlignment="1">
      <alignment vertical="center"/>
    </xf>
    <xf numFmtId="2" fontId="13" fillId="10" borderId="0" xfId="0" applyNumberFormat="1" applyFont="1" applyFill="1" applyAlignment="1">
      <alignment vertical="center"/>
    </xf>
    <xf numFmtId="2" fontId="13" fillId="10" borderId="11" xfId="0" applyNumberFormat="1" applyFont="1" applyFill="1" applyBorder="1" applyAlignment="1">
      <alignment vertical="center"/>
    </xf>
    <xf numFmtId="2" fontId="13" fillId="10" borderId="12" xfId="0" applyNumberFormat="1" applyFont="1" applyFill="1" applyBorder="1" applyAlignment="1">
      <alignment vertical="center"/>
    </xf>
    <xf numFmtId="0" fontId="13" fillId="10" borderId="13" xfId="0" applyFont="1" applyFill="1" applyBorder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1" fontId="13" fillId="10" borderId="0" xfId="0" applyNumberFormat="1" applyFont="1" applyFill="1" applyAlignment="1">
      <alignment vertical="center"/>
    </xf>
    <xf numFmtId="1" fontId="13" fillId="9" borderId="0" xfId="0" applyNumberFormat="1" applyFont="1" applyFill="1" applyAlignment="1">
      <alignment vertical="center"/>
    </xf>
    <xf numFmtId="0" fontId="14" fillId="11" borderId="0" xfId="0" applyFont="1" applyFill="1" applyAlignment="1">
      <alignment vertical="center"/>
    </xf>
    <xf numFmtId="164" fontId="14" fillId="11" borderId="9" xfId="0" applyNumberFormat="1" applyFont="1" applyFill="1" applyBorder="1" applyAlignment="1">
      <alignment vertical="center"/>
    </xf>
    <xf numFmtId="164" fontId="14" fillId="11" borderId="0" xfId="0" applyNumberFormat="1" applyFont="1" applyFill="1" applyAlignment="1">
      <alignment vertical="center"/>
    </xf>
    <xf numFmtId="164" fontId="14" fillId="11" borderId="10" xfId="0" applyNumberFormat="1" applyFont="1" applyFill="1" applyBorder="1" applyAlignment="1">
      <alignment vertical="center"/>
    </xf>
    <xf numFmtId="165" fontId="14" fillId="11" borderId="9" xfId="0" applyNumberFormat="1" applyFont="1" applyFill="1" applyBorder="1" applyAlignment="1">
      <alignment vertical="center"/>
    </xf>
    <xf numFmtId="165" fontId="14" fillId="11" borderId="0" xfId="0" applyNumberFormat="1" applyFont="1" applyFill="1" applyAlignment="1">
      <alignment vertical="center"/>
    </xf>
    <xf numFmtId="165" fontId="14" fillId="11" borderId="11" xfId="0" applyNumberFormat="1" applyFont="1" applyFill="1" applyBorder="1" applyAlignment="1">
      <alignment vertical="center"/>
    </xf>
    <xf numFmtId="165" fontId="14" fillId="11" borderId="12" xfId="0" applyNumberFormat="1" applyFont="1" applyFill="1" applyBorder="1" applyAlignment="1">
      <alignment vertical="center"/>
    </xf>
    <xf numFmtId="0" fontId="14" fillId="11" borderId="13" xfId="0" applyFont="1" applyFill="1" applyBorder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13" fillId="12" borderId="0" xfId="0" applyFont="1" applyFill="1" applyAlignment="1">
      <alignment vertical="center"/>
    </xf>
    <xf numFmtId="164" fontId="13" fillId="12" borderId="9" xfId="0" applyNumberFormat="1" applyFont="1" applyFill="1" applyBorder="1" applyAlignment="1">
      <alignment vertical="center"/>
    </xf>
    <xf numFmtId="164" fontId="13" fillId="12" borderId="0" xfId="0" applyNumberFormat="1" applyFont="1" applyFill="1" applyAlignment="1">
      <alignment vertical="center"/>
    </xf>
    <xf numFmtId="164" fontId="13" fillId="12" borderId="10" xfId="0" applyNumberFormat="1" applyFont="1" applyFill="1" applyBorder="1" applyAlignment="1">
      <alignment vertical="center"/>
    </xf>
    <xf numFmtId="165" fontId="13" fillId="12" borderId="9" xfId="0" applyNumberFormat="1" applyFont="1" applyFill="1" applyBorder="1" applyAlignment="1">
      <alignment vertical="center"/>
    </xf>
    <xf numFmtId="165" fontId="13" fillId="12" borderId="0" xfId="0" applyNumberFormat="1" applyFont="1" applyFill="1" applyAlignment="1">
      <alignment vertical="center"/>
    </xf>
    <xf numFmtId="165" fontId="13" fillId="12" borderId="11" xfId="0" applyNumberFormat="1" applyFont="1" applyFill="1" applyBorder="1" applyAlignment="1">
      <alignment vertical="center"/>
    </xf>
    <xf numFmtId="165" fontId="13" fillId="12" borderId="12" xfId="0" applyNumberFormat="1" applyFont="1" applyFill="1" applyBorder="1" applyAlignment="1">
      <alignment vertical="center"/>
    </xf>
    <xf numFmtId="0" fontId="13" fillId="12" borderId="13" xfId="0" applyFont="1" applyFill="1" applyBorder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vertical="center"/>
    </xf>
    <xf numFmtId="164" fontId="13" fillId="13" borderId="9" xfId="0" applyNumberFormat="1" applyFont="1" applyFill="1" applyBorder="1" applyAlignment="1">
      <alignment vertical="center"/>
    </xf>
    <xf numFmtId="164" fontId="13" fillId="13" borderId="0" xfId="0" applyNumberFormat="1" applyFont="1" applyFill="1" applyAlignment="1">
      <alignment vertical="center"/>
    </xf>
    <xf numFmtId="164" fontId="13" fillId="13" borderId="10" xfId="0" applyNumberFormat="1" applyFont="1" applyFill="1" applyBorder="1" applyAlignment="1">
      <alignment vertical="center"/>
    </xf>
    <xf numFmtId="165" fontId="13" fillId="13" borderId="9" xfId="0" applyNumberFormat="1" applyFont="1" applyFill="1" applyBorder="1" applyAlignment="1">
      <alignment vertical="center"/>
    </xf>
    <xf numFmtId="165" fontId="13" fillId="13" borderId="0" xfId="0" applyNumberFormat="1" applyFont="1" applyFill="1" applyAlignment="1">
      <alignment vertical="center"/>
    </xf>
    <xf numFmtId="165" fontId="13" fillId="13" borderId="11" xfId="0" applyNumberFormat="1" applyFont="1" applyFill="1" applyBorder="1" applyAlignment="1">
      <alignment vertical="center"/>
    </xf>
    <xf numFmtId="165" fontId="13" fillId="13" borderId="12" xfId="0" applyNumberFormat="1" applyFont="1" applyFill="1" applyBorder="1" applyAlignment="1">
      <alignment vertical="center"/>
    </xf>
    <xf numFmtId="0" fontId="13" fillId="13" borderId="13" xfId="0" applyFont="1" applyFill="1" applyBorder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3" fillId="14" borderId="5" xfId="0" applyFont="1" applyFill="1" applyBorder="1" applyAlignment="1">
      <alignment vertical="center"/>
    </xf>
    <xf numFmtId="164" fontId="13" fillId="14" borderId="6" xfId="0" applyNumberFormat="1" applyFont="1" applyFill="1" applyBorder="1" applyAlignment="1">
      <alignment vertical="center"/>
    </xf>
    <xf numFmtId="164" fontId="13" fillId="14" borderId="5" xfId="0" applyNumberFormat="1" applyFont="1" applyFill="1" applyBorder="1" applyAlignment="1">
      <alignment vertical="center"/>
    </xf>
    <xf numFmtId="164" fontId="13" fillId="14" borderId="7" xfId="0" applyNumberFormat="1" applyFont="1" applyFill="1" applyBorder="1" applyAlignment="1">
      <alignment vertical="center"/>
    </xf>
    <xf numFmtId="165" fontId="14" fillId="14" borderId="6" xfId="0" applyNumberFormat="1" applyFont="1" applyFill="1" applyBorder="1" applyAlignment="1">
      <alignment vertical="center"/>
    </xf>
    <xf numFmtId="165" fontId="14" fillId="14" borderId="5" xfId="0" applyNumberFormat="1" applyFont="1" applyFill="1" applyBorder="1" applyAlignment="1">
      <alignment vertical="center"/>
    </xf>
    <xf numFmtId="165" fontId="14" fillId="14" borderId="14" xfId="0" applyNumberFormat="1" applyFont="1" applyFill="1" applyBorder="1" applyAlignment="1">
      <alignment vertical="center"/>
    </xf>
    <xf numFmtId="165" fontId="14" fillId="14" borderId="15" xfId="0" applyNumberFormat="1" applyFont="1" applyFill="1" applyBorder="1" applyAlignment="1">
      <alignment vertical="center"/>
    </xf>
    <xf numFmtId="0" fontId="13" fillId="14" borderId="8" xfId="0" applyFont="1" applyFill="1" applyBorder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3" fillId="15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164" fontId="13" fillId="16" borderId="9" xfId="0" applyNumberFormat="1" applyFont="1" applyFill="1" applyBorder="1" applyAlignment="1">
      <alignment vertical="center"/>
    </xf>
    <xf numFmtId="164" fontId="13" fillId="16" borderId="0" xfId="0" applyNumberFormat="1" applyFont="1" applyFill="1" applyAlignment="1">
      <alignment vertical="center"/>
    </xf>
    <xf numFmtId="164" fontId="13" fillId="16" borderId="10" xfId="0" applyNumberFormat="1" applyFont="1" applyFill="1" applyBorder="1" applyAlignment="1">
      <alignment vertical="center"/>
    </xf>
    <xf numFmtId="165" fontId="14" fillId="16" borderId="9" xfId="0" applyNumberFormat="1" applyFont="1" applyFill="1" applyBorder="1" applyAlignment="1">
      <alignment vertical="center"/>
    </xf>
    <xf numFmtId="165" fontId="14" fillId="16" borderId="0" xfId="0" applyNumberFormat="1" applyFont="1" applyFill="1" applyAlignment="1">
      <alignment vertical="center"/>
    </xf>
    <xf numFmtId="165" fontId="14" fillId="16" borderId="11" xfId="0" applyNumberFormat="1" applyFont="1" applyFill="1" applyBorder="1" applyAlignment="1">
      <alignment vertical="center"/>
    </xf>
    <xf numFmtId="165" fontId="14" fillId="16" borderId="12" xfId="0" applyNumberFormat="1" applyFont="1" applyFill="1" applyBorder="1" applyAlignment="1">
      <alignment vertical="center"/>
    </xf>
    <xf numFmtId="0" fontId="13" fillId="15" borderId="13" xfId="0" applyFont="1" applyFill="1" applyBorder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0" fontId="13" fillId="14" borderId="16" xfId="0" applyFont="1" applyFill="1" applyBorder="1" applyAlignment="1">
      <alignment vertical="center"/>
    </xf>
    <xf numFmtId="164" fontId="13" fillId="14" borderId="17" xfId="0" applyNumberFormat="1" applyFont="1" applyFill="1" applyBorder="1" applyAlignment="1">
      <alignment vertical="center"/>
    </xf>
    <xf numFmtId="164" fontId="13" fillId="14" borderId="16" xfId="0" applyNumberFormat="1" applyFont="1" applyFill="1" applyBorder="1" applyAlignment="1">
      <alignment vertical="center"/>
    </xf>
    <xf numFmtId="164" fontId="13" fillId="14" borderId="18" xfId="0" applyNumberFormat="1" applyFont="1" applyFill="1" applyBorder="1" applyAlignment="1">
      <alignment vertical="center"/>
    </xf>
    <xf numFmtId="165" fontId="14" fillId="14" borderId="17" xfId="0" applyNumberFormat="1" applyFont="1" applyFill="1" applyBorder="1" applyAlignment="1">
      <alignment vertical="center"/>
    </xf>
    <xf numFmtId="165" fontId="14" fillId="14" borderId="16" xfId="0" applyNumberFormat="1" applyFont="1" applyFill="1" applyBorder="1" applyAlignment="1">
      <alignment vertical="center"/>
    </xf>
    <xf numFmtId="165" fontId="14" fillId="14" borderId="19" xfId="0" applyNumberFormat="1" applyFont="1" applyFill="1" applyBorder="1" applyAlignment="1">
      <alignment vertical="center"/>
    </xf>
    <xf numFmtId="165" fontId="14" fillId="14" borderId="20" xfId="0" applyNumberFormat="1" applyFont="1" applyFill="1" applyBorder="1" applyAlignment="1">
      <alignment vertical="center"/>
    </xf>
    <xf numFmtId="0" fontId="13" fillId="14" borderId="21" xfId="0" applyFont="1" applyFill="1" applyBorder="1" applyAlignment="1">
      <alignment horizontal="left" vertical="center"/>
    </xf>
    <xf numFmtId="1" fontId="13" fillId="17" borderId="0" xfId="0" applyNumberFormat="1" applyFont="1" applyFill="1" applyAlignment="1">
      <alignment vertical="center"/>
    </xf>
    <xf numFmtId="164" fontId="13" fillId="17" borderId="9" xfId="0" applyNumberFormat="1" applyFont="1" applyFill="1" applyBorder="1" applyAlignment="1">
      <alignment vertical="center"/>
    </xf>
    <xf numFmtId="164" fontId="13" fillId="17" borderId="0" xfId="0" applyNumberFormat="1" applyFont="1" applyFill="1" applyAlignment="1">
      <alignment vertical="center"/>
    </xf>
    <xf numFmtId="164" fontId="13" fillId="17" borderId="10" xfId="0" applyNumberFormat="1" applyFont="1" applyFill="1" applyBorder="1" applyAlignment="1">
      <alignment vertical="center"/>
    </xf>
    <xf numFmtId="165" fontId="13" fillId="17" borderId="9" xfId="0" applyNumberFormat="1" applyFont="1" applyFill="1" applyBorder="1" applyAlignment="1">
      <alignment vertical="center"/>
    </xf>
    <xf numFmtId="165" fontId="13" fillId="17" borderId="0" xfId="0" applyNumberFormat="1" applyFont="1" applyFill="1" applyAlignment="1">
      <alignment vertical="center"/>
    </xf>
    <xf numFmtId="165" fontId="13" fillId="17" borderId="11" xfId="0" applyNumberFormat="1" applyFont="1" applyFill="1" applyBorder="1" applyAlignment="1">
      <alignment vertical="center"/>
    </xf>
    <xf numFmtId="165" fontId="13" fillId="17" borderId="12" xfId="0" applyNumberFormat="1" applyFont="1" applyFill="1" applyBorder="1" applyAlignment="1">
      <alignment vertical="center"/>
    </xf>
    <xf numFmtId="0" fontId="13" fillId="17" borderId="13" xfId="0" applyFont="1" applyFill="1" applyBorder="1" applyAlignment="1">
      <alignment horizontal="left" vertical="center"/>
    </xf>
    <xf numFmtId="0" fontId="13" fillId="17" borderId="0" xfId="0" applyFont="1" applyFill="1" applyAlignment="1">
      <alignment horizontal="left" vertical="center"/>
    </xf>
    <xf numFmtId="1" fontId="13" fillId="18" borderId="0" xfId="0" applyNumberFormat="1" applyFont="1" applyFill="1" applyAlignment="1">
      <alignment vertical="center"/>
    </xf>
    <xf numFmtId="164" fontId="13" fillId="18" borderId="9" xfId="0" applyNumberFormat="1" applyFont="1" applyFill="1" applyBorder="1" applyAlignment="1">
      <alignment vertical="center"/>
    </xf>
    <xf numFmtId="164" fontId="13" fillId="18" borderId="0" xfId="0" applyNumberFormat="1" applyFont="1" applyFill="1" applyAlignment="1">
      <alignment vertical="center"/>
    </xf>
    <xf numFmtId="164" fontId="13" fillId="18" borderId="10" xfId="0" applyNumberFormat="1" applyFont="1" applyFill="1" applyBorder="1" applyAlignment="1">
      <alignment vertical="center"/>
    </xf>
    <xf numFmtId="165" fontId="13" fillId="18" borderId="9" xfId="0" applyNumberFormat="1" applyFont="1" applyFill="1" applyBorder="1" applyAlignment="1">
      <alignment vertical="center"/>
    </xf>
    <xf numFmtId="165" fontId="13" fillId="18" borderId="0" xfId="0" applyNumberFormat="1" applyFont="1" applyFill="1" applyAlignment="1">
      <alignment vertical="center"/>
    </xf>
    <xf numFmtId="165" fontId="13" fillId="18" borderId="11" xfId="0" applyNumberFormat="1" applyFont="1" applyFill="1" applyBorder="1" applyAlignment="1">
      <alignment vertical="center"/>
    </xf>
    <xf numFmtId="165" fontId="13" fillId="18" borderId="12" xfId="0" applyNumberFormat="1" applyFont="1" applyFill="1" applyBorder="1" applyAlignment="1">
      <alignment vertical="center"/>
    </xf>
    <xf numFmtId="0" fontId="13" fillId="18" borderId="13" xfId="0" applyFont="1" applyFill="1" applyBorder="1" applyAlignment="1">
      <alignment horizontal="left" vertical="center"/>
    </xf>
    <xf numFmtId="0" fontId="13" fillId="18" borderId="0" xfId="0" applyFont="1" applyFill="1" applyAlignment="1">
      <alignment horizontal="left" vertical="center"/>
    </xf>
    <xf numFmtId="0" fontId="13" fillId="17" borderId="16" xfId="0" applyFont="1" applyFill="1" applyBorder="1" applyAlignment="1">
      <alignment vertical="center"/>
    </xf>
    <xf numFmtId="164" fontId="13" fillId="17" borderId="17" xfId="0" applyNumberFormat="1" applyFont="1" applyFill="1" applyBorder="1" applyAlignment="1">
      <alignment vertical="center"/>
    </xf>
    <xf numFmtId="164" fontId="13" fillId="17" borderId="16" xfId="0" applyNumberFormat="1" applyFont="1" applyFill="1" applyBorder="1" applyAlignment="1">
      <alignment vertical="center"/>
    </xf>
    <xf numFmtId="164" fontId="13" fillId="17" borderId="18" xfId="0" applyNumberFormat="1" applyFont="1" applyFill="1" applyBorder="1" applyAlignment="1">
      <alignment vertical="center"/>
    </xf>
    <xf numFmtId="165" fontId="13" fillId="17" borderId="17" xfId="0" applyNumberFormat="1" applyFont="1" applyFill="1" applyBorder="1" applyAlignment="1">
      <alignment vertical="center"/>
    </xf>
    <xf numFmtId="165" fontId="13" fillId="17" borderId="16" xfId="0" applyNumberFormat="1" applyFont="1" applyFill="1" applyBorder="1" applyAlignment="1">
      <alignment vertical="center"/>
    </xf>
    <xf numFmtId="165" fontId="13" fillId="17" borderId="19" xfId="0" applyNumberFormat="1" applyFont="1" applyFill="1" applyBorder="1" applyAlignment="1">
      <alignment vertical="center"/>
    </xf>
    <xf numFmtId="165" fontId="13" fillId="17" borderId="20" xfId="0" applyNumberFormat="1" applyFont="1" applyFill="1" applyBorder="1" applyAlignment="1">
      <alignment vertical="center"/>
    </xf>
    <xf numFmtId="0" fontId="13" fillId="17" borderId="21" xfId="0" applyFont="1" applyFill="1" applyBorder="1" applyAlignment="1">
      <alignment horizontal="left" vertical="center"/>
    </xf>
    <xf numFmtId="0" fontId="2" fillId="0" borderId="1" xfId="1"/>
    <xf numFmtId="0" fontId="3" fillId="0" borderId="0" xfId="3"/>
    <xf numFmtId="1" fontId="0" fillId="0" borderId="0" xfId="0" applyNumberFormat="1"/>
    <xf numFmtId="1" fontId="7" fillId="0" borderId="0" xfId="0" applyNumberFormat="1" applyFont="1"/>
    <xf numFmtId="2" fontId="0" fillId="0" borderId="0" xfId="0" applyNumberFormat="1"/>
    <xf numFmtId="0" fontId="1" fillId="0" borderId="0" xfId="7" applyFont="1" applyAlignment="1">
      <alignment horizontal="left"/>
    </xf>
    <xf numFmtId="0" fontId="4" fillId="2" borderId="0" xfId="4" applyAlignment="1">
      <alignment horizontal="right"/>
    </xf>
    <xf numFmtId="0" fontId="4" fillId="2" borderId="0" xfId="4" applyAlignment="1">
      <alignment vertical="center"/>
    </xf>
    <xf numFmtId="0" fontId="15" fillId="0" borderId="0" xfId="7" applyAlignment="1">
      <alignment vertical="center"/>
    </xf>
    <xf numFmtId="0" fontId="15" fillId="0" borderId="0" xfId="7"/>
    <xf numFmtId="0" fontId="1" fillId="0" borderId="0" xfId="7" applyFont="1" applyAlignment="1">
      <alignment vertical="center"/>
    </xf>
    <xf numFmtId="0" fontId="16" fillId="0" borderId="0" xfId="7" applyFont="1" applyAlignment="1">
      <alignment vertical="center"/>
    </xf>
    <xf numFmtId="166" fontId="0" fillId="0" borderId="0" xfId="0" applyNumberFormat="1"/>
    <xf numFmtId="166" fontId="17" fillId="0" borderId="0" xfId="8" applyNumberFormat="1"/>
    <xf numFmtId="0" fontId="1" fillId="0" borderId="0" xfId="0" applyFont="1"/>
    <xf numFmtId="0" fontId="3" fillId="0" borderId="2" xfId="2"/>
    <xf numFmtId="0" fontId="5" fillId="3" borderId="0" xfId="5"/>
  </cellXfs>
  <cellStyles count="9">
    <cellStyle name="Bad" xfId="5" builtinId="27"/>
    <cellStyle name="Good" xfId="4" builtinId="26"/>
    <cellStyle name="Heading 2" xfId="1" builtinId="17"/>
    <cellStyle name="Heading 3" xfId="2" builtinId="18"/>
    <cellStyle name="Heading 4" xfId="3" builtinId="19"/>
    <cellStyle name="Neutral" xfId="6" builtinId="28"/>
    <cellStyle name="Normal" xfId="0" builtinId="0"/>
    <cellStyle name="Normal 10" xfId="7" xr:uid="{C0B929F7-ADB3-442C-9927-5834B4A57AD5}"/>
    <cellStyle name="Normal 3 2" xfId="8" xr:uid="{6F7570B5-4235-407A-BC61-44D143C23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0</xdr:row>
      <xdr:rowOff>12700</xdr:rowOff>
    </xdr:from>
    <xdr:to>
      <xdr:col>14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5306B-735B-4707-95B4-BBD31F088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225" y="12700"/>
          <a:ext cx="9906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EFAB-233A-4C76-BB82-8BC499F9AA27}">
  <dimension ref="A1:Y136"/>
  <sheetViews>
    <sheetView workbookViewId="0">
      <selection sqref="A1:M1"/>
    </sheetView>
  </sheetViews>
  <sheetFormatPr defaultRowHeight="14.25"/>
  <cols>
    <col min="2" max="2" width="19.53125" bestFit="1" customWidth="1"/>
    <col min="3" max="14" width="10.59765625" customWidth="1"/>
    <col min="15" max="15" width="12.6640625" bestFit="1" customWidth="1"/>
    <col min="16" max="16" width="10.59765625" customWidth="1"/>
    <col min="18" max="18" width="10.59765625" customWidth="1"/>
    <col min="19" max="19" width="19.53125" bestFit="1" customWidth="1"/>
    <col min="20" max="20" width="30.59765625" customWidth="1"/>
    <col min="21" max="21" width="12" bestFit="1" customWidth="1"/>
    <col min="22" max="22" width="11.265625" bestFit="1" customWidth="1"/>
    <col min="23" max="23" width="12.46484375" bestFit="1" customWidth="1"/>
    <col min="24" max="25" width="10.59765625" customWidth="1"/>
  </cols>
  <sheetData>
    <row r="1" spans="1:25" ht="22.0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9" spans="1:25" ht="14.65" thickBot="1">
      <c r="B9" s="2" t="s">
        <v>1</v>
      </c>
      <c r="R9" s="2" t="s">
        <v>2</v>
      </c>
    </row>
    <row r="10" spans="1:25" ht="15.75" thickBot="1">
      <c r="B10" s="3" t="s">
        <v>3</v>
      </c>
      <c r="C10" s="3" t="s">
        <v>4</v>
      </c>
      <c r="D10" s="3" t="s">
        <v>5</v>
      </c>
      <c r="E10" s="3">
        <v>2020</v>
      </c>
      <c r="F10" s="3">
        <v>2022</v>
      </c>
      <c r="G10" s="3">
        <v>2024</v>
      </c>
      <c r="H10" s="3">
        <v>2025</v>
      </c>
      <c r="I10" s="3">
        <v>2030</v>
      </c>
      <c r="J10" s="3">
        <v>2035</v>
      </c>
      <c r="K10" s="3">
        <v>2040</v>
      </c>
      <c r="L10" s="3">
        <v>2045</v>
      </c>
      <c r="M10" s="3">
        <v>2050</v>
      </c>
      <c r="N10" s="3" t="s">
        <v>6</v>
      </c>
      <c r="O10" s="3" t="s">
        <v>7</v>
      </c>
      <c r="P10" s="3" t="s">
        <v>8</v>
      </c>
      <c r="R10" s="3" t="s">
        <v>9</v>
      </c>
      <c r="S10" s="3" t="s">
        <v>3</v>
      </c>
      <c r="T10" s="3" t="s">
        <v>10</v>
      </c>
      <c r="U10" s="3" t="s">
        <v>11</v>
      </c>
      <c r="V10" s="3" t="s">
        <v>12</v>
      </c>
      <c r="W10" s="3" t="s">
        <v>13</v>
      </c>
      <c r="X10" s="3" t="s">
        <v>14</v>
      </c>
      <c r="Y10" s="3" t="s">
        <v>15</v>
      </c>
    </row>
    <row r="11" spans="1:25">
      <c r="B11" s="4" t="s">
        <v>16</v>
      </c>
      <c r="C11" s="4" t="s">
        <v>17</v>
      </c>
      <c r="D11" s="4" t="s">
        <v>18</v>
      </c>
      <c r="E11" s="5">
        <v>938.6</v>
      </c>
      <c r="F11" s="5"/>
      <c r="G11" s="5"/>
      <c r="H11" s="5"/>
      <c r="I11" s="5">
        <v>885.2</v>
      </c>
      <c r="J11" s="5"/>
      <c r="K11" s="5"/>
      <c r="L11" s="5"/>
      <c r="M11" s="5">
        <v>853.2</v>
      </c>
      <c r="N11" s="4" t="s">
        <v>19</v>
      </c>
      <c r="O11" s="4"/>
      <c r="P11" s="4"/>
      <c r="R11" s="4" t="s">
        <v>20</v>
      </c>
      <c r="S11" s="4" t="s">
        <v>16</v>
      </c>
      <c r="T11" s="4" t="s">
        <v>21</v>
      </c>
      <c r="U11" s="4" t="s">
        <v>22</v>
      </c>
      <c r="V11" s="4" t="s">
        <v>23</v>
      </c>
      <c r="W11" s="4" t="s">
        <v>24</v>
      </c>
      <c r="X11" s="4" t="s">
        <v>25</v>
      </c>
      <c r="Y11" s="4"/>
    </row>
    <row r="12" spans="1:25">
      <c r="B12" s="6" t="s">
        <v>16</v>
      </c>
      <c r="C12" s="6" t="s">
        <v>17</v>
      </c>
      <c r="D12" s="6" t="s">
        <v>18</v>
      </c>
      <c r="E12" s="7">
        <v>32.200000000000003</v>
      </c>
      <c r="F12" s="7"/>
      <c r="G12" s="7"/>
      <c r="H12" s="7"/>
      <c r="I12" s="7">
        <v>30.6</v>
      </c>
      <c r="J12" s="7"/>
      <c r="K12" s="7"/>
      <c r="L12" s="7"/>
      <c r="M12" s="7">
        <v>28.6</v>
      </c>
      <c r="N12" s="6" t="s">
        <v>26</v>
      </c>
      <c r="O12" s="6"/>
      <c r="P12" s="6"/>
      <c r="R12" s="6" t="s">
        <v>20</v>
      </c>
      <c r="S12" s="6" t="s">
        <v>27</v>
      </c>
      <c r="T12" s="6" t="s">
        <v>28</v>
      </c>
      <c r="U12" s="6" t="s">
        <v>22</v>
      </c>
      <c r="V12" s="6" t="s">
        <v>23</v>
      </c>
      <c r="W12" s="6" t="s">
        <v>24</v>
      </c>
      <c r="X12" s="6" t="s">
        <v>25</v>
      </c>
      <c r="Y12" s="6"/>
    </row>
    <row r="13" spans="1:25">
      <c r="B13" s="4" t="s">
        <v>16</v>
      </c>
      <c r="C13" s="4" t="s">
        <v>17</v>
      </c>
      <c r="D13" s="4" t="s">
        <v>18</v>
      </c>
      <c r="E13" s="5">
        <v>4.68</v>
      </c>
      <c r="F13" s="5"/>
      <c r="G13" s="5"/>
      <c r="H13" s="5"/>
      <c r="I13" s="5">
        <v>4.68</v>
      </c>
      <c r="J13" s="5"/>
      <c r="K13" s="5"/>
      <c r="L13" s="5"/>
      <c r="M13" s="5">
        <v>4.32</v>
      </c>
      <c r="N13" s="4" t="s">
        <v>29</v>
      </c>
      <c r="O13" s="4"/>
      <c r="P13" s="4"/>
      <c r="R13" s="4" t="s">
        <v>30</v>
      </c>
      <c r="S13" s="4" t="s">
        <v>31</v>
      </c>
      <c r="T13" s="4" t="s">
        <v>32</v>
      </c>
      <c r="U13" s="4" t="s">
        <v>22</v>
      </c>
      <c r="V13" s="4" t="s">
        <v>23</v>
      </c>
      <c r="W13" s="4" t="s">
        <v>24</v>
      </c>
      <c r="X13" s="4" t="s">
        <v>25</v>
      </c>
      <c r="Y13" s="4"/>
    </row>
    <row r="14" spans="1:25">
      <c r="B14" s="6" t="s">
        <v>16</v>
      </c>
      <c r="C14" s="6" t="s">
        <v>17</v>
      </c>
      <c r="D14" s="6" t="s">
        <v>18</v>
      </c>
      <c r="E14" s="7">
        <v>0.56000000000000005</v>
      </c>
      <c r="F14" s="7"/>
      <c r="G14" s="7"/>
      <c r="H14" s="7"/>
      <c r="I14" s="7">
        <v>0.57999999999999996</v>
      </c>
      <c r="J14" s="7"/>
      <c r="K14" s="7"/>
      <c r="L14" s="7"/>
      <c r="M14" s="7">
        <v>0.6</v>
      </c>
      <c r="N14" s="6" t="s">
        <v>33</v>
      </c>
      <c r="O14" s="6"/>
      <c r="P14" s="6"/>
      <c r="R14" s="6" t="s">
        <v>20</v>
      </c>
      <c r="S14" s="6" t="s">
        <v>34</v>
      </c>
      <c r="T14" s="6" t="s">
        <v>35</v>
      </c>
      <c r="U14" s="6" t="s">
        <v>22</v>
      </c>
      <c r="V14" s="6" t="s">
        <v>23</v>
      </c>
      <c r="W14" s="6" t="s">
        <v>24</v>
      </c>
      <c r="X14" s="6" t="s">
        <v>25</v>
      </c>
      <c r="Y14" s="6"/>
    </row>
    <row r="15" spans="1:25">
      <c r="B15" s="4" t="s">
        <v>16</v>
      </c>
      <c r="C15" s="4" t="s">
        <v>17</v>
      </c>
      <c r="D15" s="4" t="s">
        <v>18</v>
      </c>
      <c r="E15" s="5">
        <v>30</v>
      </c>
      <c r="F15" s="5">
        <v>30</v>
      </c>
      <c r="G15" s="5">
        <v>30</v>
      </c>
      <c r="H15" s="5">
        <v>30</v>
      </c>
      <c r="I15" s="5">
        <v>30</v>
      </c>
      <c r="J15" s="5">
        <v>30</v>
      </c>
      <c r="K15" s="5">
        <v>30</v>
      </c>
      <c r="L15" s="5">
        <v>30</v>
      </c>
      <c r="M15" s="5">
        <v>30</v>
      </c>
      <c r="N15" s="4" t="s">
        <v>36</v>
      </c>
      <c r="O15" s="4"/>
      <c r="P15" s="4"/>
      <c r="R15" s="4" t="s">
        <v>20</v>
      </c>
      <c r="S15" s="4" t="s">
        <v>37</v>
      </c>
      <c r="T15" s="4" t="s">
        <v>38</v>
      </c>
      <c r="U15" s="4" t="s">
        <v>22</v>
      </c>
      <c r="V15" s="4" t="s">
        <v>23</v>
      </c>
      <c r="W15" s="4" t="s">
        <v>24</v>
      </c>
      <c r="X15" s="4" t="s">
        <v>25</v>
      </c>
      <c r="Y15" s="4"/>
    </row>
    <row r="16" spans="1:25">
      <c r="B16" s="6" t="s">
        <v>16</v>
      </c>
      <c r="C16" s="6" t="s">
        <v>17</v>
      </c>
      <c r="D16" s="6" t="s">
        <v>18</v>
      </c>
      <c r="E16" s="7">
        <v>3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3</v>
      </c>
      <c r="M16" s="7">
        <v>3</v>
      </c>
      <c r="N16" s="6" t="s">
        <v>39</v>
      </c>
      <c r="O16" s="6"/>
      <c r="P16" s="6"/>
      <c r="R16" s="6" t="s">
        <v>20</v>
      </c>
      <c r="S16" s="6" t="s">
        <v>40</v>
      </c>
      <c r="T16" s="6" t="s">
        <v>41</v>
      </c>
      <c r="U16" s="6" t="s">
        <v>22</v>
      </c>
      <c r="V16" s="6" t="s">
        <v>23</v>
      </c>
      <c r="W16" s="6" t="s">
        <v>24</v>
      </c>
      <c r="X16" s="6" t="s">
        <v>25</v>
      </c>
      <c r="Y16" s="6"/>
    </row>
    <row r="17" spans="2:25">
      <c r="B17" s="4" t="s">
        <v>27</v>
      </c>
      <c r="C17" s="4" t="s">
        <v>17</v>
      </c>
      <c r="D17" s="4" t="s">
        <v>18</v>
      </c>
      <c r="E17" s="5"/>
      <c r="F17" s="5"/>
      <c r="G17" s="5">
        <v>470.5</v>
      </c>
      <c r="H17" s="5"/>
      <c r="I17" s="5"/>
      <c r="J17" s="5">
        <v>470.5</v>
      </c>
      <c r="K17" s="5"/>
      <c r="L17" s="5"/>
      <c r="M17" s="5">
        <v>470.5</v>
      </c>
      <c r="N17" s="4" t="s">
        <v>19</v>
      </c>
      <c r="O17" s="4"/>
      <c r="P17" s="4"/>
      <c r="R17" s="4" t="s">
        <v>20</v>
      </c>
      <c r="S17" s="4" t="s">
        <v>42</v>
      </c>
      <c r="T17" s="4" t="s">
        <v>43</v>
      </c>
      <c r="U17" s="4" t="s">
        <v>22</v>
      </c>
      <c r="V17" s="4" t="s">
        <v>23</v>
      </c>
      <c r="W17" s="4" t="s">
        <v>24</v>
      </c>
      <c r="X17" s="4" t="s">
        <v>25</v>
      </c>
      <c r="Y17" s="4"/>
    </row>
    <row r="18" spans="2:25">
      <c r="B18" s="6" t="s">
        <v>27</v>
      </c>
      <c r="C18" s="6" t="s">
        <v>17</v>
      </c>
      <c r="D18" s="6" t="s">
        <v>18</v>
      </c>
      <c r="E18" s="7"/>
      <c r="F18" s="7"/>
      <c r="G18" s="7">
        <v>18.8</v>
      </c>
      <c r="H18" s="7"/>
      <c r="I18" s="7"/>
      <c r="J18" s="7">
        <v>18.8</v>
      </c>
      <c r="K18" s="7"/>
      <c r="L18" s="7"/>
      <c r="M18" s="7">
        <v>18.8</v>
      </c>
      <c r="N18" s="6" t="s">
        <v>26</v>
      </c>
      <c r="O18" s="6"/>
      <c r="P18" s="6"/>
      <c r="R18" s="6" t="s">
        <v>20</v>
      </c>
      <c r="S18" s="6" t="s">
        <v>44</v>
      </c>
      <c r="T18" s="6" t="s">
        <v>45</v>
      </c>
      <c r="U18" s="6" t="s">
        <v>22</v>
      </c>
      <c r="V18" s="6" t="s">
        <v>23</v>
      </c>
      <c r="W18" s="6" t="s">
        <v>24</v>
      </c>
      <c r="X18" s="6" t="s">
        <v>25</v>
      </c>
      <c r="Y18" s="6"/>
    </row>
    <row r="19" spans="2:25">
      <c r="B19" s="4" t="s">
        <v>27</v>
      </c>
      <c r="C19" s="4" t="s">
        <v>17</v>
      </c>
      <c r="D19" s="4" t="s">
        <v>18</v>
      </c>
      <c r="E19" s="5"/>
      <c r="F19" s="5"/>
      <c r="G19" s="5">
        <v>6.9408000000000003</v>
      </c>
      <c r="H19" s="5"/>
      <c r="I19" s="5"/>
      <c r="J19" s="5">
        <v>6.9408000000000003</v>
      </c>
      <c r="K19" s="5"/>
      <c r="L19" s="5"/>
      <c r="M19" s="5">
        <v>6.9408000000000003</v>
      </c>
      <c r="N19" s="4" t="s">
        <v>29</v>
      </c>
      <c r="O19" s="4"/>
      <c r="P19" s="4"/>
      <c r="R19" s="4" t="s">
        <v>20</v>
      </c>
      <c r="S19" s="4" t="s">
        <v>46</v>
      </c>
      <c r="T19" s="4" t="s">
        <v>47</v>
      </c>
      <c r="U19" s="4" t="s">
        <v>22</v>
      </c>
      <c r="V19" s="4" t="s">
        <v>23</v>
      </c>
      <c r="W19" s="4" t="s">
        <v>24</v>
      </c>
      <c r="X19" s="4" t="s">
        <v>25</v>
      </c>
      <c r="Y19" s="4"/>
    </row>
    <row r="20" spans="2:25">
      <c r="B20" s="6" t="s">
        <v>27</v>
      </c>
      <c r="C20" s="6" t="s">
        <v>17</v>
      </c>
      <c r="D20" s="6" t="s">
        <v>18</v>
      </c>
      <c r="E20" s="7"/>
      <c r="F20" s="7"/>
      <c r="G20" s="7">
        <v>0.41</v>
      </c>
      <c r="H20" s="7"/>
      <c r="I20" s="7"/>
      <c r="J20" s="7">
        <v>0.42</v>
      </c>
      <c r="K20" s="7"/>
      <c r="L20" s="7"/>
      <c r="M20" s="7">
        <v>0.42</v>
      </c>
      <c r="N20" s="6" t="s">
        <v>33</v>
      </c>
      <c r="O20" s="6"/>
      <c r="P20" s="6"/>
      <c r="R20" s="6" t="s">
        <v>20</v>
      </c>
      <c r="S20" s="6" t="s">
        <v>48</v>
      </c>
      <c r="T20" s="6" t="s">
        <v>49</v>
      </c>
      <c r="U20" s="6" t="s">
        <v>22</v>
      </c>
      <c r="V20" s="6" t="s">
        <v>23</v>
      </c>
      <c r="W20" s="6" t="s">
        <v>24</v>
      </c>
      <c r="X20" s="6" t="s">
        <v>25</v>
      </c>
      <c r="Y20" s="6"/>
    </row>
    <row r="21" spans="2:25">
      <c r="B21" s="4" t="s">
        <v>27</v>
      </c>
      <c r="C21" s="4" t="s">
        <v>17</v>
      </c>
      <c r="D21" s="4" t="s">
        <v>18</v>
      </c>
      <c r="E21" s="5">
        <v>30</v>
      </c>
      <c r="F21" s="5">
        <v>30</v>
      </c>
      <c r="G21" s="5">
        <v>30</v>
      </c>
      <c r="H21" s="5">
        <v>30</v>
      </c>
      <c r="I21" s="5">
        <v>30</v>
      </c>
      <c r="J21" s="5">
        <v>30</v>
      </c>
      <c r="K21" s="5">
        <v>30</v>
      </c>
      <c r="L21" s="5">
        <v>30</v>
      </c>
      <c r="M21" s="5">
        <v>30</v>
      </c>
      <c r="N21" s="4" t="s">
        <v>36</v>
      </c>
      <c r="O21" s="4"/>
      <c r="P21" s="4"/>
      <c r="R21" s="4" t="s">
        <v>20</v>
      </c>
      <c r="S21" s="4" t="s">
        <v>50</v>
      </c>
      <c r="T21" s="4" t="s">
        <v>51</v>
      </c>
      <c r="U21" s="4" t="s">
        <v>22</v>
      </c>
      <c r="V21" s="4" t="s">
        <v>23</v>
      </c>
      <c r="W21" s="4" t="s">
        <v>24</v>
      </c>
      <c r="X21" s="4" t="s">
        <v>25</v>
      </c>
      <c r="Y21" s="4"/>
    </row>
    <row r="22" spans="2:25">
      <c r="B22" s="6" t="s">
        <v>27</v>
      </c>
      <c r="C22" s="6" t="s">
        <v>17</v>
      </c>
      <c r="D22" s="6" t="s">
        <v>18</v>
      </c>
      <c r="E22" s="7">
        <v>2</v>
      </c>
      <c r="F22" s="7">
        <v>2</v>
      </c>
      <c r="G22" s="7">
        <v>2</v>
      </c>
      <c r="H22" s="7">
        <v>2</v>
      </c>
      <c r="I22" s="7">
        <v>2</v>
      </c>
      <c r="J22" s="7">
        <v>2</v>
      </c>
      <c r="K22" s="7">
        <v>2</v>
      </c>
      <c r="L22" s="7">
        <v>2</v>
      </c>
      <c r="M22" s="7">
        <v>2</v>
      </c>
      <c r="N22" s="6" t="s">
        <v>39</v>
      </c>
      <c r="O22" s="6"/>
      <c r="P22" s="6"/>
      <c r="R22" s="6" t="s">
        <v>30</v>
      </c>
      <c r="S22" s="6" t="s">
        <v>52</v>
      </c>
      <c r="T22" s="6" t="s">
        <v>53</v>
      </c>
      <c r="U22" s="6" t="s">
        <v>22</v>
      </c>
      <c r="V22" s="6" t="s">
        <v>23</v>
      </c>
      <c r="W22" s="6" t="s">
        <v>24</v>
      </c>
      <c r="X22" s="6" t="s">
        <v>25</v>
      </c>
      <c r="Y22" s="6"/>
    </row>
    <row r="23" spans="2:25">
      <c r="B23" s="4" t="s">
        <v>31</v>
      </c>
      <c r="C23" s="4" t="s">
        <v>17</v>
      </c>
      <c r="D23" s="4" t="s">
        <v>54</v>
      </c>
      <c r="E23" s="5">
        <v>967.6</v>
      </c>
      <c r="F23" s="5"/>
      <c r="G23" s="5"/>
      <c r="H23" s="5"/>
      <c r="I23" s="5">
        <v>912.6</v>
      </c>
      <c r="J23" s="5"/>
      <c r="K23" s="5"/>
      <c r="L23" s="5"/>
      <c r="M23" s="5">
        <v>879.6</v>
      </c>
      <c r="N23" s="4" t="s">
        <v>19</v>
      </c>
      <c r="O23" s="4"/>
      <c r="P23" s="4"/>
      <c r="R23" s="4" t="s">
        <v>55</v>
      </c>
      <c r="S23" s="4" t="s">
        <v>56</v>
      </c>
      <c r="T23" s="4" t="s">
        <v>57</v>
      </c>
      <c r="U23" s="4" t="s">
        <v>22</v>
      </c>
      <c r="V23" s="4" t="s">
        <v>23</v>
      </c>
      <c r="W23" s="4" t="s">
        <v>58</v>
      </c>
      <c r="X23" s="4" t="s">
        <v>25</v>
      </c>
      <c r="Y23" s="4"/>
    </row>
    <row r="24" spans="2:25">
      <c r="B24" s="6" t="s">
        <v>31</v>
      </c>
      <c r="C24" s="6" t="s">
        <v>17</v>
      </c>
      <c r="D24" s="6" t="s">
        <v>54</v>
      </c>
      <c r="E24" s="7">
        <v>32.200000000000003</v>
      </c>
      <c r="F24" s="7"/>
      <c r="G24" s="7"/>
      <c r="H24" s="7"/>
      <c r="I24" s="7">
        <v>30.6</v>
      </c>
      <c r="J24" s="7"/>
      <c r="K24" s="7"/>
      <c r="L24" s="7"/>
      <c r="M24" s="7">
        <v>28.6</v>
      </c>
      <c r="N24" s="6" t="s">
        <v>26</v>
      </c>
      <c r="O24" s="6"/>
      <c r="P24" s="6"/>
      <c r="R24" s="6" t="s">
        <v>55</v>
      </c>
      <c r="S24" s="6" t="s">
        <v>59</v>
      </c>
      <c r="T24" s="6" t="s">
        <v>60</v>
      </c>
      <c r="U24" s="6" t="s">
        <v>22</v>
      </c>
      <c r="V24" s="6" t="s">
        <v>23</v>
      </c>
      <c r="W24" s="6" t="s">
        <v>58</v>
      </c>
      <c r="X24" s="6" t="s">
        <v>25</v>
      </c>
      <c r="Y24" s="6"/>
    </row>
    <row r="25" spans="2:25">
      <c r="B25" s="4" t="s">
        <v>31</v>
      </c>
      <c r="C25" s="4" t="s">
        <v>17</v>
      </c>
      <c r="D25" s="4" t="s">
        <v>54</v>
      </c>
      <c r="E25" s="5">
        <v>4.68</v>
      </c>
      <c r="F25" s="5"/>
      <c r="G25" s="5"/>
      <c r="H25" s="5"/>
      <c r="I25" s="5">
        <v>4.68</v>
      </c>
      <c r="J25" s="5"/>
      <c r="K25" s="5"/>
      <c r="L25" s="5"/>
      <c r="M25" s="5">
        <v>4.32</v>
      </c>
      <c r="N25" s="4" t="s">
        <v>29</v>
      </c>
      <c r="O25" s="4"/>
      <c r="P25" s="4"/>
      <c r="R25" s="4" t="s">
        <v>55</v>
      </c>
      <c r="S25" s="4" t="s">
        <v>61</v>
      </c>
      <c r="T25" s="4" t="s">
        <v>62</v>
      </c>
      <c r="U25" s="4" t="s">
        <v>22</v>
      </c>
      <c r="V25" s="4" t="s">
        <v>23</v>
      </c>
      <c r="W25" s="4" t="s">
        <v>58</v>
      </c>
      <c r="X25" s="4" t="s">
        <v>25</v>
      </c>
      <c r="Y25" s="4"/>
    </row>
    <row r="26" spans="2:25">
      <c r="B26" s="6" t="s">
        <v>31</v>
      </c>
      <c r="C26" s="6" t="s">
        <v>17</v>
      </c>
      <c r="D26" s="6" t="s">
        <v>54</v>
      </c>
      <c r="E26" s="7">
        <v>0.56000000000000005</v>
      </c>
      <c r="F26" s="7"/>
      <c r="G26" s="7"/>
      <c r="H26" s="7"/>
      <c r="I26" s="7">
        <v>0.57999999999999996</v>
      </c>
      <c r="J26" s="7"/>
      <c r="K26" s="7"/>
      <c r="L26" s="7"/>
      <c r="M26" s="7">
        <v>0.6</v>
      </c>
      <c r="N26" s="6" t="s">
        <v>33</v>
      </c>
      <c r="O26" s="6"/>
      <c r="P26" s="6"/>
      <c r="R26" s="6" t="s">
        <v>55</v>
      </c>
      <c r="S26" s="6" t="s">
        <v>63</v>
      </c>
      <c r="T26" s="6" t="s">
        <v>64</v>
      </c>
      <c r="U26" s="6" t="s">
        <v>22</v>
      </c>
      <c r="V26" s="6" t="s">
        <v>23</v>
      </c>
      <c r="W26" s="6" t="s">
        <v>58</v>
      </c>
      <c r="X26" s="6" t="s">
        <v>25</v>
      </c>
      <c r="Y26" s="6"/>
    </row>
    <row r="27" spans="2:25">
      <c r="B27" s="4" t="s">
        <v>31</v>
      </c>
      <c r="C27" s="4" t="s">
        <v>17</v>
      </c>
      <c r="D27" s="4" t="s">
        <v>54</v>
      </c>
      <c r="E27" s="5">
        <v>25</v>
      </c>
      <c r="F27" s="5">
        <v>25</v>
      </c>
      <c r="G27" s="5">
        <v>25</v>
      </c>
      <c r="H27" s="5">
        <v>25</v>
      </c>
      <c r="I27" s="5">
        <v>25</v>
      </c>
      <c r="J27" s="5">
        <v>25</v>
      </c>
      <c r="K27" s="5">
        <v>25</v>
      </c>
      <c r="L27" s="5">
        <v>25</v>
      </c>
      <c r="M27" s="5">
        <v>25</v>
      </c>
      <c r="N27" s="4" t="s">
        <v>36</v>
      </c>
      <c r="O27" s="4"/>
      <c r="P27" s="4"/>
      <c r="R27" s="4" t="s">
        <v>65</v>
      </c>
      <c r="S27" s="4" t="s">
        <v>66</v>
      </c>
      <c r="T27" s="4" t="s">
        <v>67</v>
      </c>
      <c r="U27" s="4" t="s">
        <v>22</v>
      </c>
      <c r="V27" s="4" t="s">
        <v>23</v>
      </c>
      <c r="W27" s="4" t="s">
        <v>24</v>
      </c>
      <c r="X27" s="4" t="s">
        <v>25</v>
      </c>
      <c r="Y27" s="4" t="s">
        <v>68</v>
      </c>
    </row>
    <row r="28" spans="2:25">
      <c r="B28" s="6" t="s">
        <v>31</v>
      </c>
      <c r="C28" s="6" t="s">
        <v>17</v>
      </c>
      <c r="D28" s="6" t="s">
        <v>54</v>
      </c>
      <c r="E28" s="7">
        <v>3</v>
      </c>
      <c r="F28" s="7">
        <v>3</v>
      </c>
      <c r="G28" s="7">
        <v>3</v>
      </c>
      <c r="H28" s="7">
        <v>3</v>
      </c>
      <c r="I28" s="7">
        <v>3</v>
      </c>
      <c r="J28" s="7">
        <v>3</v>
      </c>
      <c r="K28" s="7">
        <v>3</v>
      </c>
      <c r="L28" s="7">
        <v>3</v>
      </c>
      <c r="M28" s="7">
        <v>3</v>
      </c>
      <c r="N28" s="6" t="s">
        <v>39</v>
      </c>
      <c r="O28" s="6"/>
      <c r="P28" s="6"/>
      <c r="R28" s="6" t="s">
        <v>65</v>
      </c>
      <c r="S28" s="6" t="s">
        <v>69</v>
      </c>
      <c r="T28" s="6" t="s">
        <v>70</v>
      </c>
      <c r="U28" s="6" t="s">
        <v>22</v>
      </c>
      <c r="V28" s="6" t="s">
        <v>23</v>
      </c>
      <c r="W28" s="6" t="s">
        <v>24</v>
      </c>
      <c r="X28" s="6" t="s">
        <v>25</v>
      </c>
      <c r="Y28" s="6" t="s">
        <v>68</v>
      </c>
    </row>
    <row r="29" spans="2:25">
      <c r="B29" s="4" t="s">
        <v>31</v>
      </c>
      <c r="C29" s="4" t="s">
        <v>17</v>
      </c>
      <c r="D29" s="4" t="s">
        <v>54</v>
      </c>
      <c r="E29" s="5">
        <v>0.55559999999999998</v>
      </c>
      <c r="F29" s="5"/>
      <c r="G29" s="5"/>
      <c r="H29" s="5"/>
      <c r="I29" s="5">
        <v>0.5</v>
      </c>
      <c r="J29" s="5"/>
      <c r="K29" s="5"/>
      <c r="L29" s="5"/>
      <c r="M29" s="5">
        <v>0.45450000000000002</v>
      </c>
      <c r="N29" s="4" t="s">
        <v>71</v>
      </c>
      <c r="O29" s="4"/>
      <c r="P29" s="4"/>
      <c r="R29" s="4" t="s">
        <v>30</v>
      </c>
      <c r="S29" s="4" t="s">
        <v>72</v>
      </c>
      <c r="T29" s="4" t="s">
        <v>73</v>
      </c>
      <c r="U29" s="4" t="s">
        <v>22</v>
      </c>
      <c r="V29" s="4" t="s">
        <v>23</v>
      </c>
      <c r="W29" s="4" t="s">
        <v>24</v>
      </c>
      <c r="X29" s="4" t="s">
        <v>25</v>
      </c>
      <c r="Y29" s="4"/>
    </row>
    <row r="30" spans="2:25">
      <c r="B30" s="6" t="s">
        <v>31</v>
      </c>
      <c r="C30" s="6" t="s">
        <v>17</v>
      </c>
      <c r="D30" s="6" t="s">
        <v>54</v>
      </c>
      <c r="E30" s="7">
        <v>0.15</v>
      </c>
      <c r="F30" s="7"/>
      <c r="G30" s="7"/>
      <c r="H30" s="7"/>
      <c r="I30" s="7">
        <v>0.15</v>
      </c>
      <c r="J30" s="7"/>
      <c r="K30" s="7"/>
      <c r="L30" s="7"/>
      <c r="M30" s="7">
        <v>0.15</v>
      </c>
      <c r="N30" s="6" t="s">
        <v>74</v>
      </c>
      <c r="O30" s="6"/>
      <c r="P30" s="6"/>
    </row>
    <row r="31" spans="2:25">
      <c r="B31" s="4" t="s">
        <v>34</v>
      </c>
      <c r="C31" s="4" t="s">
        <v>17</v>
      </c>
      <c r="D31" s="4" t="s">
        <v>75</v>
      </c>
      <c r="E31" s="5"/>
      <c r="F31" s="5"/>
      <c r="G31" s="5">
        <v>2917</v>
      </c>
      <c r="H31" s="5"/>
      <c r="I31" s="5"/>
      <c r="J31" s="5">
        <v>2681.7</v>
      </c>
      <c r="K31" s="5"/>
      <c r="L31" s="5"/>
      <c r="M31" s="5">
        <v>2446.5</v>
      </c>
      <c r="N31" s="4" t="s">
        <v>19</v>
      </c>
      <c r="O31" s="4"/>
      <c r="P31" s="4"/>
    </row>
    <row r="32" spans="2:25">
      <c r="B32" s="6" t="s">
        <v>34</v>
      </c>
      <c r="C32" s="6" t="s">
        <v>17</v>
      </c>
      <c r="D32" s="6" t="s">
        <v>75</v>
      </c>
      <c r="E32" s="7"/>
      <c r="F32" s="7"/>
      <c r="G32" s="7">
        <v>70.599999999999994</v>
      </c>
      <c r="H32" s="7"/>
      <c r="I32" s="7"/>
      <c r="J32" s="7">
        <v>65.900000000000006</v>
      </c>
      <c r="K32" s="7"/>
      <c r="L32" s="7"/>
      <c r="M32" s="7">
        <v>61.2</v>
      </c>
      <c r="N32" s="6" t="s">
        <v>26</v>
      </c>
      <c r="O32" s="6"/>
      <c r="P32" s="6"/>
    </row>
    <row r="33" spans="2:16">
      <c r="B33" s="4" t="s">
        <v>34</v>
      </c>
      <c r="C33" s="4" t="s">
        <v>17</v>
      </c>
      <c r="D33" s="4" t="s">
        <v>75</v>
      </c>
      <c r="E33" s="5"/>
      <c r="F33" s="5"/>
      <c r="G33" s="5">
        <v>4.6584000000000003</v>
      </c>
      <c r="H33" s="5"/>
      <c r="I33" s="5"/>
      <c r="J33" s="5">
        <v>3.9815999999999998</v>
      </c>
      <c r="K33" s="5"/>
      <c r="L33" s="5"/>
      <c r="M33" s="5">
        <v>3.5604</v>
      </c>
      <c r="N33" s="4" t="s">
        <v>29</v>
      </c>
      <c r="O33" s="4"/>
      <c r="P33" s="4"/>
    </row>
    <row r="34" spans="2:16">
      <c r="B34" s="6" t="s">
        <v>34</v>
      </c>
      <c r="C34" s="6" t="s">
        <v>17</v>
      </c>
      <c r="D34" s="6" t="s">
        <v>75</v>
      </c>
      <c r="E34" s="7"/>
      <c r="F34" s="7"/>
      <c r="G34" s="7">
        <v>0.52</v>
      </c>
      <c r="H34" s="7"/>
      <c r="I34" s="7"/>
      <c r="J34" s="7">
        <v>0.54</v>
      </c>
      <c r="K34" s="7"/>
      <c r="L34" s="7"/>
      <c r="M34" s="7">
        <v>0.54</v>
      </c>
      <c r="N34" s="6" t="s">
        <v>33</v>
      </c>
      <c r="O34" s="6"/>
      <c r="P34" s="6"/>
    </row>
    <row r="35" spans="2:16">
      <c r="B35" s="4" t="s">
        <v>34</v>
      </c>
      <c r="C35" s="4" t="s">
        <v>17</v>
      </c>
      <c r="D35" s="4" t="s">
        <v>75</v>
      </c>
      <c r="E35" s="5">
        <v>30</v>
      </c>
      <c r="F35" s="5">
        <v>30</v>
      </c>
      <c r="G35" s="5">
        <v>30</v>
      </c>
      <c r="H35" s="5">
        <v>30</v>
      </c>
      <c r="I35" s="5">
        <v>30</v>
      </c>
      <c r="J35" s="5">
        <v>30</v>
      </c>
      <c r="K35" s="5">
        <v>30</v>
      </c>
      <c r="L35" s="5">
        <v>30</v>
      </c>
      <c r="M35" s="5">
        <v>30</v>
      </c>
      <c r="N35" s="4" t="s">
        <v>36</v>
      </c>
      <c r="O35" s="4"/>
      <c r="P35" s="4"/>
    </row>
    <row r="36" spans="2:16">
      <c r="B36" s="6" t="s">
        <v>34</v>
      </c>
      <c r="C36" s="6" t="s">
        <v>17</v>
      </c>
      <c r="D36" s="6" t="s">
        <v>75</v>
      </c>
      <c r="E36" s="7">
        <v>4</v>
      </c>
      <c r="F36" s="7">
        <v>4</v>
      </c>
      <c r="G36" s="7">
        <v>4</v>
      </c>
      <c r="H36" s="7">
        <v>4</v>
      </c>
      <c r="I36" s="7">
        <v>4</v>
      </c>
      <c r="J36" s="7">
        <v>4</v>
      </c>
      <c r="K36" s="7">
        <v>4</v>
      </c>
      <c r="L36" s="7">
        <v>4</v>
      </c>
      <c r="M36" s="7">
        <v>4</v>
      </c>
      <c r="N36" s="6" t="s">
        <v>39</v>
      </c>
      <c r="O36" s="6"/>
      <c r="P36" s="6"/>
    </row>
    <row r="37" spans="2:16">
      <c r="B37" s="4" t="s">
        <v>37</v>
      </c>
      <c r="C37" s="4" t="s">
        <v>76</v>
      </c>
      <c r="D37" s="4" t="s">
        <v>18</v>
      </c>
      <c r="E37" s="5"/>
      <c r="F37" s="5"/>
      <c r="G37" s="5">
        <v>1599.6</v>
      </c>
      <c r="H37" s="5"/>
      <c r="I37" s="5"/>
      <c r="J37" s="5">
        <v>1599.6</v>
      </c>
      <c r="K37" s="5"/>
      <c r="L37" s="5"/>
      <c r="M37" s="5">
        <v>1599.6</v>
      </c>
      <c r="N37" s="4" t="s">
        <v>19</v>
      </c>
      <c r="O37" s="4"/>
      <c r="P37" s="4"/>
    </row>
    <row r="38" spans="2:16">
      <c r="B38" s="6" t="s">
        <v>37</v>
      </c>
      <c r="C38" s="6" t="s">
        <v>76</v>
      </c>
      <c r="D38" s="6" t="s">
        <v>18</v>
      </c>
      <c r="E38" s="7"/>
      <c r="F38" s="7"/>
      <c r="G38" s="7">
        <v>42.3</v>
      </c>
      <c r="H38" s="7"/>
      <c r="I38" s="7"/>
      <c r="J38" s="7">
        <v>42.3</v>
      </c>
      <c r="K38" s="7"/>
      <c r="L38" s="7"/>
      <c r="M38" s="7">
        <v>42.3</v>
      </c>
      <c r="N38" s="6" t="s">
        <v>26</v>
      </c>
      <c r="O38" s="6"/>
      <c r="P38" s="6"/>
    </row>
    <row r="39" spans="2:16">
      <c r="B39" s="4" t="s">
        <v>37</v>
      </c>
      <c r="C39" s="4" t="s">
        <v>76</v>
      </c>
      <c r="D39" s="4" t="s">
        <v>18</v>
      </c>
      <c r="E39" s="5"/>
      <c r="F39" s="5"/>
      <c r="G39" s="5">
        <v>8.4995999999999992</v>
      </c>
      <c r="H39" s="5"/>
      <c r="I39" s="5"/>
      <c r="J39" s="5">
        <v>8.4995999999999992</v>
      </c>
      <c r="K39" s="5"/>
      <c r="L39" s="5"/>
      <c r="M39" s="5">
        <v>8.4995999999999992</v>
      </c>
      <c r="N39" s="4" t="s">
        <v>29</v>
      </c>
      <c r="O39" s="4"/>
      <c r="P39" s="4"/>
    </row>
    <row r="40" spans="2:16">
      <c r="B40" s="6" t="s">
        <v>37</v>
      </c>
      <c r="C40" s="6" t="s">
        <v>76</v>
      </c>
      <c r="D40" s="6" t="s">
        <v>18</v>
      </c>
      <c r="E40" s="7"/>
      <c r="F40" s="7"/>
      <c r="G40" s="7">
        <v>0.39</v>
      </c>
      <c r="H40" s="7"/>
      <c r="I40" s="7"/>
      <c r="J40" s="7">
        <v>0.39</v>
      </c>
      <c r="K40" s="7"/>
      <c r="L40" s="7"/>
      <c r="M40" s="7">
        <v>0.39</v>
      </c>
      <c r="N40" s="6" t="s">
        <v>33</v>
      </c>
      <c r="O40" s="6"/>
      <c r="P40" s="6"/>
    </row>
    <row r="41" spans="2:16">
      <c r="B41" s="4" t="s">
        <v>37</v>
      </c>
      <c r="C41" s="4" t="s">
        <v>76</v>
      </c>
      <c r="D41" s="4" t="s">
        <v>18</v>
      </c>
      <c r="E41" s="5">
        <v>40</v>
      </c>
      <c r="F41" s="5">
        <v>40</v>
      </c>
      <c r="G41" s="5">
        <v>40</v>
      </c>
      <c r="H41" s="5">
        <v>40</v>
      </c>
      <c r="I41" s="5">
        <v>40</v>
      </c>
      <c r="J41" s="5">
        <v>40</v>
      </c>
      <c r="K41" s="5">
        <v>40</v>
      </c>
      <c r="L41" s="5">
        <v>40</v>
      </c>
      <c r="M41" s="5">
        <v>40</v>
      </c>
      <c r="N41" s="4" t="s">
        <v>36</v>
      </c>
      <c r="O41" s="4"/>
      <c r="P41" s="4"/>
    </row>
    <row r="42" spans="2:16">
      <c r="B42" s="6" t="s">
        <v>37</v>
      </c>
      <c r="C42" s="6" t="s">
        <v>76</v>
      </c>
      <c r="D42" s="6" t="s">
        <v>18</v>
      </c>
      <c r="E42" s="7">
        <v>4</v>
      </c>
      <c r="F42" s="7">
        <v>4</v>
      </c>
      <c r="G42" s="7">
        <v>4</v>
      </c>
      <c r="H42" s="7">
        <v>4</v>
      </c>
      <c r="I42" s="7">
        <v>4</v>
      </c>
      <c r="J42" s="7">
        <v>4</v>
      </c>
      <c r="K42" s="7">
        <v>4</v>
      </c>
      <c r="L42" s="7">
        <v>4</v>
      </c>
      <c r="M42" s="7">
        <v>4</v>
      </c>
      <c r="N42" s="6" t="s">
        <v>39</v>
      </c>
      <c r="O42" s="6"/>
      <c r="P42" s="6"/>
    </row>
    <row r="43" spans="2:16">
      <c r="B43" s="4" t="s">
        <v>40</v>
      </c>
      <c r="C43" s="4" t="s">
        <v>76</v>
      </c>
      <c r="D43" s="4" t="s">
        <v>18</v>
      </c>
      <c r="E43" s="5"/>
      <c r="F43" s="5"/>
      <c r="G43" s="5">
        <v>1881.9</v>
      </c>
      <c r="H43" s="5"/>
      <c r="I43" s="5"/>
      <c r="J43" s="5">
        <v>1881.9</v>
      </c>
      <c r="K43" s="5"/>
      <c r="L43" s="5"/>
      <c r="M43" s="5">
        <v>1881.9</v>
      </c>
      <c r="N43" s="4" t="s">
        <v>19</v>
      </c>
      <c r="O43" s="4"/>
      <c r="P43" s="4"/>
    </row>
    <row r="44" spans="2:16">
      <c r="B44" s="6" t="s">
        <v>40</v>
      </c>
      <c r="C44" s="6" t="s">
        <v>76</v>
      </c>
      <c r="D44" s="6" t="s">
        <v>18</v>
      </c>
      <c r="E44" s="7"/>
      <c r="F44" s="7"/>
      <c r="G44" s="7">
        <v>56.5</v>
      </c>
      <c r="H44" s="7"/>
      <c r="I44" s="7"/>
      <c r="J44" s="7">
        <v>56.5</v>
      </c>
      <c r="K44" s="7"/>
      <c r="L44" s="7"/>
      <c r="M44" s="7">
        <v>56.5</v>
      </c>
      <c r="N44" s="6" t="s">
        <v>26</v>
      </c>
      <c r="O44" s="6"/>
      <c r="P44" s="6"/>
    </row>
    <row r="45" spans="2:16">
      <c r="B45" s="4" t="s">
        <v>40</v>
      </c>
      <c r="C45" s="4" t="s">
        <v>76</v>
      </c>
      <c r="D45" s="4" t="s">
        <v>18</v>
      </c>
      <c r="E45" s="5"/>
      <c r="F45" s="5"/>
      <c r="G45" s="5">
        <v>9.18</v>
      </c>
      <c r="H45" s="5"/>
      <c r="I45" s="5"/>
      <c r="J45" s="5">
        <v>8.7911999999999999</v>
      </c>
      <c r="K45" s="5"/>
      <c r="L45" s="5"/>
      <c r="M45" s="5">
        <v>8.3412000000000006</v>
      </c>
      <c r="N45" s="4" t="s">
        <v>29</v>
      </c>
      <c r="O45" s="4"/>
      <c r="P45" s="4"/>
    </row>
    <row r="46" spans="2:16">
      <c r="B46" s="6" t="s">
        <v>40</v>
      </c>
      <c r="C46" s="6" t="s">
        <v>76</v>
      </c>
      <c r="D46" s="6" t="s">
        <v>18</v>
      </c>
      <c r="E46" s="7"/>
      <c r="F46" s="7"/>
      <c r="G46" s="7">
        <v>0.43</v>
      </c>
      <c r="H46" s="7"/>
      <c r="I46" s="7"/>
      <c r="J46" s="7">
        <v>0.43</v>
      </c>
      <c r="K46" s="7"/>
      <c r="L46" s="7"/>
      <c r="M46" s="7">
        <v>0.43</v>
      </c>
      <c r="N46" s="6" t="s">
        <v>33</v>
      </c>
      <c r="O46" s="6"/>
      <c r="P46" s="6"/>
    </row>
    <row r="47" spans="2:16">
      <c r="B47" s="4" t="s">
        <v>40</v>
      </c>
      <c r="C47" s="4" t="s">
        <v>76</v>
      </c>
      <c r="D47" s="4" t="s">
        <v>18</v>
      </c>
      <c r="E47" s="5">
        <v>40</v>
      </c>
      <c r="F47" s="5">
        <v>40</v>
      </c>
      <c r="G47" s="5">
        <v>40</v>
      </c>
      <c r="H47" s="5">
        <v>40</v>
      </c>
      <c r="I47" s="5">
        <v>40</v>
      </c>
      <c r="J47" s="5">
        <v>40</v>
      </c>
      <c r="K47" s="5">
        <v>40</v>
      </c>
      <c r="L47" s="5">
        <v>40</v>
      </c>
      <c r="M47" s="5">
        <v>40</v>
      </c>
      <c r="N47" s="4" t="s">
        <v>36</v>
      </c>
      <c r="O47" s="4"/>
      <c r="P47" s="4"/>
    </row>
    <row r="48" spans="2:16">
      <c r="B48" s="6" t="s">
        <v>40</v>
      </c>
      <c r="C48" s="6" t="s">
        <v>76</v>
      </c>
      <c r="D48" s="6" t="s">
        <v>18</v>
      </c>
      <c r="E48" s="7">
        <v>4</v>
      </c>
      <c r="F48" s="7">
        <v>4</v>
      </c>
      <c r="G48" s="7">
        <v>4</v>
      </c>
      <c r="H48" s="7">
        <v>4</v>
      </c>
      <c r="I48" s="7">
        <v>4</v>
      </c>
      <c r="J48" s="7">
        <v>4</v>
      </c>
      <c r="K48" s="7">
        <v>4</v>
      </c>
      <c r="L48" s="7">
        <v>4</v>
      </c>
      <c r="M48" s="7">
        <v>4</v>
      </c>
      <c r="N48" s="6" t="s">
        <v>39</v>
      </c>
      <c r="O48" s="6"/>
      <c r="P48" s="6"/>
    </row>
    <row r="49" spans="2:16">
      <c r="B49" s="4" t="s">
        <v>42</v>
      </c>
      <c r="C49" s="4" t="s">
        <v>76</v>
      </c>
      <c r="D49" s="4" t="s">
        <v>18</v>
      </c>
      <c r="E49" s="5"/>
      <c r="F49" s="5"/>
      <c r="G49" s="5">
        <v>2070.1</v>
      </c>
      <c r="H49" s="5"/>
      <c r="I49" s="5"/>
      <c r="J49" s="5">
        <v>2070.1</v>
      </c>
      <c r="K49" s="5"/>
      <c r="L49" s="5"/>
      <c r="M49" s="5">
        <v>2070.1</v>
      </c>
      <c r="N49" s="4" t="s">
        <v>19</v>
      </c>
      <c r="O49" s="4"/>
      <c r="P49" s="4"/>
    </row>
    <row r="50" spans="2:16">
      <c r="B50" s="6" t="s">
        <v>42</v>
      </c>
      <c r="C50" s="6" t="s">
        <v>76</v>
      </c>
      <c r="D50" s="6" t="s">
        <v>18</v>
      </c>
      <c r="E50" s="7"/>
      <c r="F50" s="7"/>
      <c r="G50" s="7">
        <v>61.2</v>
      </c>
      <c r="H50" s="7"/>
      <c r="I50" s="7"/>
      <c r="J50" s="7">
        <v>61.2</v>
      </c>
      <c r="K50" s="7"/>
      <c r="L50" s="7"/>
      <c r="M50" s="7">
        <v>61.2</v>
      </c>
      <c r="N50" s="6" t="s">
        <v>26</v>
      </c>
      <c r="O50" s="6"/>
      <c r="P50" s="6"/>
    </row>
    <row r="51" spans="2:16">
      <c r="B51" s="4" t="s">
        <v>42</v>
      </c>
      <c r="C51" s="4" t="s">
        <v>76</v>
      </c>
      <c r="D51" s="4" t="s">
        <v>18</v>
      </c>
      <c r="E51" s="5"/>
      <c r="F51" s="5"/>
      <c r="G51" s="5">
        <v>9.5004000000000008</v>
      </c>
      <c r="H51" s="5"/>
      <c r="I51" s="5"/>
      <c r="J51" s="5">
        <v>9.5004000000000008</v>
      </c>
      <c r="K51" s="5"/>
      <c r="L51" s="5"/>
      <c r="M51" s="5">
        <v>9.5004000000000008</v>
      </c>
      <c r="N51" s="4" t="s">
        <v>29</v>
      </c>
      <c r="O51" s="4"/>
      <c r="P51" s="4"/>
    </row>
    <row r="52" spans="2:16">
      <c r="B52" s="6" t="s">
        <v>42</v>
      </c>
      <c r="C52" s="6" t="s">
        <v>76</v>
      </c>
      <c r="D52" s="6" t="s">
        <v>18</v>
      </c>
      <c r="E52" s="7"/>
      <c r="F52" s="7"/>
      <c r="G52" s="7">
        <v>0.46</v>
      </c>
      <c r="H52" s="7"/>
      <c r="I52" s="7"/>
      <c r="J52" s="7">
        <v>0.47</v>
      </c>
      <c r="K52" s="7"/>
      <c r="L52" s="7"/>
      <c r="M52" s="7">
        <v>0.48</v>
      </c>
      <c r="N52" s="6" t="s">
        <v>33</v>
      </c>
      <c r="O52" s="6"/>
      <c r="P52" s="6"/>
    </row>
    <row r="53" spans="2:16">
      <c r="B53" s="4" t="s">
        <v>42</v>
      </c>
      <c r="C53" s="4" t="s">
        <v>76</v>
      </c>
      <c r="D53" s="4" t="s">
        <v>18</v>
      </c>
      <c r="E53" s="5">
        <v>40</v>
      </c>
      <c r="F53" s="5">
        <v>40</v>
      </c>
      <c r="G53" s="5">
        <v>40</v>
      </c>
      <c r="H53" s="5">
        <v>40</v>
      </c>
      <c r="I53" s="5">
        <v>40</v>
      </c>
      <c r="J53" s="5">
        <v>40</v>
      </c>
      <c r="K53" s="5">
        <v>40</v>
      </c>
      <c r="L53" s="5">
        <v>40</v>
      </c>
      <c r="M53" s="5">
        <v>40</v>
      </c>
      <c r="N53" s="4" t="s">
        <v>36</v>
      </c>
      <c r="O53" s="4"/>
      <c r="P53" s="4"/>
    </row>
    <row r="54" spans="2:16">
      <c r="B54" s="6" t="s">
        <v>42</v>
      </c>
      <c r="C54" s="6" t="s">
        <v>76</v>
      </c>
      <c r="D54" s="6" t="s">
        <v>18</v>
      </c>
      <c r="E54" s="7">
        <v>4</v>
      </c>
      <c r="F54" s="7">
        <v>4</v>
      </c>
      <c r="G54" s="7">
        <v>4</v>
      </c>
      <c r="H54" s="7">
        <v>4</v>
      </c>
      <c r="I54" s="7">
        <v>4</v>
      </c>
      <c r="J54" s="7">
        <v>4</v>
      </c>
      <c r="K54" s="7">
        <v>4</v>
      </c>
      <c r="L54" s="7">
        <v>4</v>
      </c>
      <c r="M54" s="7">
        <v>4</v>
      </c>
      <c r="N54" s="6" t="s">
        <v>39</v>
      </c>
      <c r="O54" s="6"/>
      <c r="P54" s="6"/>
    </row>
    <row r="55" spans="2:16">
      <c r="B55" s="4" t="s">
        <v>44</v>
      </c>
      <c r="C55" s="4" t="s">
        <v>76</v>
      </c>
      <c r="D55" s="4" t="s">
        <v>18</v>
      </c>
      <c r="E55" s="5"/>
      <c r="F55" s="5"/>
      <c r="G55" s="5">
        <v>2352.4</v>
      </c>
      <c r="H55" s="5"/>
      <c r="I55" s="5"/>
      <c r="J55" s="5">
        <v>2164.1999999999998</v>
      </c>
      <c r="K55" s="5"/>
      <c r="L55" s="5"/>
      <c r="M55" s="5">
        <v>2164.1999999999998</v>
      </c>
      <c r="N55" s="4" t="s">
        <v>19</v>
      </c>
      <c r="O55" s="4"/>
      <c r="P55" s="4"/>
    </row>
    <row r="56" spans="2:16">
      <c r="B56" s="6" t="s">
        <v>44</v>
      </c>
      <c r="C56" s="6" t="s">
        <v>76</v>
      </c>
      <c r="D56" s="6" t="s">
        <v>18</v>
      </c>
      <c r="E56" s="7"/>
      <c r="F56" s="7"/>
      <c r="G56" s="7">
        <v>84.7</v>
      </c>
      <c r="H56" s="7"/>
      <c r="I56" s="7"/>
      <c r="J56" s="7">
        <v>75.3</v>
      </c>
      <c r="K56" s="7"/>
      <c r="L56" s="7"/>
      <c r="M56" s="7">
        <v>75.3</v>
      </c>
      <c r="N56" s="6" t="s">
        <v>26</v>
      </c>
      <c r="O56" s="6"/>
      <c r="P56" s="6"/>
    </row>
    <row r="57" spans="2:16">
      <c r="B57" s="4" t="s">
        <v>44</v>
      </c>
      <c r="C57" s="4" t="s">
        <v>76</v>
      </c>
      <c r="D57" s="4" t="s">
        <v>18</v>
      </c>
      <c r="E57" s="5"/>
      <c r="F57" s="5"/>
      <c r="G57" s="5">
        <v>0.46</v>
      </c>
      <c r="H57" s="5"/>
      <c r="I57" s="5"/>
      <c r="J57" s="5">
        <v>0.49</v>
      </c>
      <c r="K57" s="5"/>
      <c r="L57" s="5"/>
      <c r="M57" s="5">
        <v>0.5</v>
      </c>
      <c r="N57" s="4" t="s">
        <v>33</v>
      </c>
      <c r="O57" s="4"/>
      <c r="P57" s="4"/>
    </row>
    <row r="58" spans="2:16">
      <c r="B58" s="6" t="s">
        <v>44</v>
      </c>
      <c r="C58" s="6" t="s">
        <v>76</v>
      </c>
      <c r="D58" s="6" t="s">
        <v>18</v>
      </c>
      <c r="E58" s="7">
        <v>40</v>
      </c>
      <c r="F58" s="7">
        <v>40</v>
      </c>
      <c r="G58" s="7">
        <v>40</v>
      </c>
      <c r="H58" s="7">
        <v>40</v>
      </c>
      <c r="I58" s="7">
        <v>40</v>
      </c>
      <c r="J58" s="7">
        <v>40</v>
      </c>
      <c r="K58" s="7">
        <v>40</v>
      </c>
      <c r="L58" s="7">
        <v>40</v>
      </c>
      <c r="M58" s="7">
        <v>40</v>
      </c>
      <c r="N58" s="6" t="s">
        <v>36</v>
      </c>
      <c r="O58" s="6"/>
      <c r="P58" s="6"/>
    </row>
    <row r="59" spans="2:16">
      <c r="B59" s="4" t="s">
        <v>44</v>
      </c>
      <c r="C59" s="4" t="s">
        <v>76</v>
      </c>
      <c r="D59" s="4" t="s">
        <v>18</v>
      </c>
      <c r="E59" s="5">
        <v>4</v>
      </c>
      <c r="F59" s="5">
        <v>4</v>
      </c>
      <c r="G59" s="5">
        <v>4</v>
      </c>
      <c r="H59" s="5">
        <v>4</v>
      </c>
      <c r="I59" s="5">
        <v>4</v>
      </c>
      <c r="J59" s="5">
        <v>4</v>
      </c>
      <c r="K59" s="5">
        <v>4</v>
      </c>
      <c r="L59" s="5">
        <v>4</v>
      </c>
      <c r="M59" s="5">
        <v>4</v>
      </c>
      <c r="N59" s="4" t="s">
        <v>39</v>
      </c>
      <c r="O59" s="4"/>
      <c r="P59" s="4"/>
    </row>
    <row r="60" spans="2:16">
      <c r="B60" s="6" t="s">
        <v>46</v>
      </c>
      <c r="C60" s="6" t="s">
        <v>77</v>
      </c>
      <c r="D60" s="6" t="s">
        <v>18</v>
      </c>
      <c r="E60" s="7"/>
      <c r="F60" s="7"/>
      <c r="G60" s="7">
        <v>6210.4</v>
      </c>
      <c r="H60" s="7"/>
      <c r="I60" s="7"/>
      <c r="J60" s="7">
        <v>4704.8</v>
      </c>
      <c r="K60" s="7"/>
      <c r="L60" s="7"/>
      <c r="M60" s="7">
        <v>4234.3</v>
      </c>
      <c r="N60" s="6" t="s">
        <v>19</v>
      </c>
      <c r="O60" s="6"/>
      <c r="P60" s="6"/>
    </row>
    <row r="61" spans="2:16">
      <c r="B61" s="4" t="s">
        <v>46</v>
      </c>
      <c r="C61" s="4" t="s">
        <v>77</v>
      </c>
      <c r="D61" s="4" t="s">
        <v>18</v>
      </c>
      <c r="E61" s="5"/>
      <c r="F61" s="5"/>
      <c r="G61" s="5">
        <v>155.30000000000001</v>
      </c>
      <c r="H61" s="5"/>
      <c r="I61" s="5"/>
      <c r="J61" s="5">
        <v>160</v>
      </c>
      <c r="K61" s="5"/>
      <c r="L61" s="5"/>
      <c r="M61" s="5">
        <v>150.6</v>
      </c>
      <c r="N61" s="4" t="s">
        <v>26</v>
      </c>
      <c r="O61" s="4"/>
      <c r="P61" s="4"/>
    </row>
    <row r="62" spans="2:16">
      <c r="B62" s="6" t="s">
        <v>46</v>
      </c>
      <c r="C62" s="6" t="s">
        <v>77</v>
      </c>
      <c r="D62" s="6" t="s">
        <v>18</v>
      </c>
      <c r="E62" s="7"/>
      <c r="F62" s="7"/>
      <c r="G62" s="7"/>
      <c r="H62" s="7"/>
      <c r="I62" s="7"/>
      <c r="J62" s="7">
        <v>2.8008000000000002</v>
      </c>
      <c r="K62" s="7"/>
      <c r="L62" s="7"/>
      <c r="M62" s="7">
        <v>2.8008000000000002</v>
      </c>
      <c r="N62" s="6" t="s">
        <v>29</v>
      </c>
      <c r="O62" s="6"/>
      <c r="P62" s="6"/>
    </row>
    <row r="63" spans="2:16">
      <c r="B63" s="4" t="s">
        <v>46</v>
      </c>
      <c r="C63" s="4" t="s">
        <v>77</v>
      </c>
      <c r="D63" s="4" t="s">
        <v>18</v>
      </c>
      <c r="E63" s="5">
        <v>60</v>
      </c>
      <c r="F63" s="5">
        <v>60</v>
      </c>
      <c r="G63" s="5">
        <v>60</v>
      </c>
      <c r="H63" s="5">
        <v>60</v>
      </c>
      <c r="I63" s="5">
        <v>60</v>
      </c>
      <c r="J63" s="5">
        <v>60</v>
      </c>
      <c r="K63" s="5">
        <v>60</v>
      </c>
      <c r="L63" s="5">
        <v>60</v>
      </c>
      <c r="M63" s="5">
        <v>60</v>
      </c>
      <c r="N63" s="4" t="s">
        <v>36</v>
      </c>
      <c r="O63" s="4"/>
      <c r="P63" s="4"/>
    </row>
    <row r="64" spans="2:16">
      <c r="B64" s="6" t="s">
        <v>46</v>
      </c>
      <c r="C64" s="6" t="s">
        <v>77</v>
      </c>
      <c r="D64" s="6" t="s">
        <v>18</v>
      </c>
      <c r="E64" s="7">
        <v>7</v>
      </c>
      <c r="F64" s="7">
        <v>7</v>
      </c>
      <c r="G64" s="7">
        <v>7</v>
      </c>
      <c r="H64" s="7">
        <v>7</v>
      </c>
      <c r="I64" s="7">
        <v>7</v>
      </c>
      <c r="J64" s="7">
        <v>7</v>
      </c>
      <c r="K64" s="7">
        <v>7</v>
      </c>
      <c r="L64" s="7">
        <v>7</v>
      </c>
      <c r="M64" s="7">
        <v>7</v>
      </c>
      <c r="N64" s="6" t="s">
        <v>39</v>
      </c>
      <c r="O64" s="6"/>
      <c r="P64" s="6"/>
    </row>
    <row r="65" spans="2:16">
      <c r="B65" s="4" t="s">
        <v>48</v>
      </c>
      <c r="C65" s="4" t="s">
        <v>77</v>
      </c>
      <c r="D65" s="4" t="s">
        <v>18</v>
      </c>
      <c r="E65" s="5"/>
      <c r="F65" s="5"/>
      <c r="G65" s="5"/>
      <c r="H65" s="5"/>
      <c r="I65" s="5">
        <v>10266</v>
      </c>
      <c r="J65" s="5">
        <v>8364.9</v>
      </c>
      <c r="K65" s="5">
        <v>6373.8</v>
      </c>
      <c r="L65" s="5">
        <v>5480.2</v>
      </c>
      <c r="M65" s="5">
        <v>4884.6000000000004</v>
      </c>
      <c r="N65" s="4" t="s">
        <v>19</v>
      </c>
      <c r="O65" s="4"/>
      <c r="P65" s="4"/>
    </row>
    <row r="66" spans="2:16">
      <c r="B66" s="6" t="s">
        <v>48</v>
      </c>
      <c r="C66" s="6" t="s">
        <v>77</v>
      </c>
      <c r="D66" s="6" t="s">
        <v>18</v>
      </c>
      <c r="E66" s="7"/>
      <c r="F66" s="7"/>
      <c r="G66" s="7"/>
      <c r="H66" s="7"/>
      <c r="I66" s="7">
        <v>144.69999999999999</v>
      </c>
      <c r="J66" s="7">
        <v>144.69999999999999</v>
      </c>
      <c r="K66" s="7">
        <v>136</v>
      </c>
      <c r="L66" s="7">
        <v>136</v>
      </c>
      <c r="M66" s="7">
        <v>136</v>
      </c>
      <c r="N66" s="6" t="s">
        <v>26</v>
      </c>
      <c r="O66" s="6"/>
      <c r="P66" s="6"/>
    </row>
    <row r="67" spans="2:16">
      <c r="B67" s="4" t="s">
        <v>48</v>
      </c>
      <c r="C67" s="4" t="s">
        <v>77</v>
      </c>
      <c r="D67" s="4" t="s">
        <v>18</v>
      </c>
      <c r="E67" s="5"/>
      <c r="F67" s="5"/>
      <c r="G67" s="5"/>
      <c r="H67" s="5"/>
      <c r="I67" s="5">
        <v>2.5992000000000002</v>
      </c>
      <c r="J67" s="5">
        <v>2.5992000000000002</v>
      </c>
      <c r="K67" s="5">
        <v>2.5992000000000002</v>
      </c>
      <c r="L67" s="5">
        <v>2.5992000000000002</v>
      </c>
      <c r="M67" s="5">
        <v>2.5992000000000002</v>
      </c>
      <c r="N67" s="4" t="s">
        <v>29</v>
      </c>
      <c r="O67" s="4"/>
      <c r="P67" s="4"/>
    </row>
    <row r="68" spans="2:16">
      <c r="B68" s="6" t="s">
        <v>48</v>
      </c>
      <c r="C68" s="6" t="s">
        <v>77</v>
      </c>
      <c r="D68" s="6" t="s">
        <v>18</v>
      </c>
      <c r="E68" s="7">
        <v>40</v>
      </c>
      <c r="F68" s="7">
        <v>40</v>
      </c>
      <c r="G68" s="7">
        <v>40</v>
      </c>
      <c r="H68" s="7">
        <v>40</v>
      </c>
      <c r="I68" s="7">
        <v>40</v>
      </c>
      <c r="J68" s="7">
        <v>40</v>
      </c>
      <c r="K68" s="7">
        <v>40</v>
      </c>
      <c r="L68" s="7">
        <v>40</v>
      </c>
      <c r="M68" s="7">
        <v>40</v>
      </c>
      <c r="N68" s="6" t="s">
        <v>36</v>
      </c>
      <c r="O68" s="6"/>
      <c r="P68" s="6"/>
    </row>
    <row r="69" spans="2:16">
      <c r="B69" s="4" t="s">
        <v>48</v>
      </c>
      <c r="C69" s="4" t="s">
        <v>77</v>
      </c>
      <c r="D69" s="4" t="s">
        <v>18</v>
      </c>
      <c r="E69" s="5">
        <v>3</v>
      </c>
      <c r="F69" s="5">
        <v>3</v>
      </c>
      <c r="G69" s="5">
        <v>3</v>
      </c>
      <c r="H69" s="5">
        <v>3</v>
      </c>
      <c r="I69" s="5">
        <v>3</v>
      </c>
      <c r="J69" s="5">
        <v>3</v>
      </c>
      <c r="K69" s="5">
        <v>3</v>
      </c>
      <c r="L69" s="5">
        <v>3</v>
      </c>
      <c r="M69" s="5">
        <v>3</v>
      </c>
      <c r="N69" s="4" t="s">
        <v>39</v>
      </c>
      <c r="O69" s="4"/>
      <c r="P69" s="4"/>
    </row>
    <row r="70" spans="2:16">
      <c r="B70" s="6" t="s">
        <v>50</v>
      </c>
      <c r="C70" s="6" t="s">
        <v>78</v>
      </c>
      <c r="D70" s="6" t="s">
        <v>18</v>
      </c>
      <c r="E70" s="7"/>
      <c r="F70" s="7"/>
      <c r="G70" s="7">
        <v>2258.3000000000002</v>
      </c>
      <c r="H70" s="7"/>
      <c r="I70" s="7"/>
      <c r="J70" s="7">
        <v>2211.3000000000002</v>
      </c>
      <c r="K70" s="7"/>
      <c r="L70" s="7"/>
      <c r="M70" s="7">
        <v>2164.1999999999998</v>
      </c>
      <c r="N70" s="6" t="s">
        <v>19</v>
      </c>
      <c r="O70" s="6"/>
      <c r="P70" s="6"/>
    </row>
    <row r="71" spans="2:16">
      <c r="B71" s="4" t="s">
        <v>50</v>
      </c>
      <c r="C71" s="4" t="s">
        <v>78</v>
      </c>
      <c r="D71" s="4" t="s">
        <v>18</v>
      </c>
      <c r="E71" s="5"/>
      <c r="F71" s="5"/>
      <c r="G71" s="5">
        <v>80</v>
      </c>
      <c r="H71" s="5"/>
      <c r="I71" s="5"/>
      <c r="J71" s="5">
        <v>75.3</v>
      </c>
      <c r="K71" s="5"/>
      <c r="L71" s="5"/>
      <c r="M71" s="5">
        <v>75.3</v>
      </c>
      <c r="N71" s="4" t="s">
        <v>26</v>
      </c>
      <c r="O71" s="4"/>
      <c r="P71" s="4"/>
    </row>
    <row r="72" spans="2:16">
      <c r="B72" s="6" t="s">
        <v>50</v>
      </c>
      <c r="C72" s="6" t="s">
        <v>78</v>
      </c>
      <c r="D72" s="6" t="s">
        <v>18</v>
      </c>
      <c r="E72" s="7"/>
      <c r="F72" s="7"/>
      <c r="G72" s="7">
        <v>5.2451999999999996</v>
      </c>
      <c r="H72" s="7"/>
      <c r="I72" s="7"/>
      <c r="J72" s="7">
        <v>5.2451999999999996</v>
      </c>
      <c r="K72" s="7"/>
      <c r="L72" s="7"/>
      <c r="M72" s="7">
        <v>5.2451999999999996</v>
      </c>
      <c r="N72" s="6" t="s">
        <v>29</v>
      </c>
      <c r="O72" s="6"/>
      <c r="P72" s="6"/>
    </row>
    <row r="73" spans="2:16">
      <c r="B73" s="4" t="s">
        <v>50</v>
      </c>
      <c r="C73" s="4" t="s">
        <v>78</v>
      </c>
      <c r="D73" s="4" t="s">
        <v>18</v>
      </c>
      <c r="E73" s="5"/>
      <c r="F73" s="5"/>
      <c r="G73" s="5">
        <v>0.35</v>
      </c>
      <c r="H73" s="5"/>
      <c r="I73" s="5"/>
      <c r="J73" s="5">
        <v>0.35</v>
      </c>
      <c r="K73" s="5"/>
      <c r="L73" s="5"/>
      <c r="M73" s="5">
        <v>0.35</v>
      </c>
      <c r="N73" s="4" t="s">
        <v>33</v>
      </c>
      <c r="O73" s="4"/>
      <c r="P73" s="4"/>
    </row>
    <row r="74" spans="2:16">
      <c r="B74" s="6" t="s">
        <v>50</v>
      </c>
      <c r="C74" s="6" t="s">
        <v>78</v>
      </c>
      <c r="D74" s="6" t="s">
        <v>18</v>
      </c>
      <c r="E74" s="7"/>
      <c r="F74" s="7"/>
      <c r="G74" s="7">
        <v>0.6</v>
      </c>
      <c r="H74" s="7"/>
      <c r="I74" s="7"/>
      <c r="J74" s="7">
        <v>0.6</v>
      </c>
      <c r="K74" s="7"/>
      <c r="L74" s="7"/>
      <c r="M74" s="7">
        <v>0.6</v>
      </c>
      <c r="N74" s="6" t="s">
        <v>79</v>
      </c>
      <c r="O74" s="6"/>
      <c r="P74" s="6"/>
    </row>
    <row r="75" spans="2:16">
      <c r="B75" s="4" t="s">
        <v>50</v>
      </c>
      <c r="C75" s="4" t="s">
        <v>78</v>
      </c>
      <c r="D75" s="4" t="s">
        <v>18</v>
      </c>
      <c r="E75" s="5">
        <v>45</v>
      </c>
      <c r="F75" s="5">
        <v>45</v>
      </c>
      <c r="G75" s="5">
        <v>45</v>
      </c>
      <c r="H75" s="5">
        <v>45</v>
      </c>
      <c r="I75" s="5">
        <v>45</v>
      </c>
      <c r="J75" s="5">
        <v>45</v>
      </c>
      <c r="K75" s="5">
        <v>45</v>
      </c>
      <c r="L75" s="5">
        <v>45</v>
      </c>
      <c r="M75" s="5">
        <v>45</v>
      </c>
      <c r="N75" s="4" t="s">
        <v>36</v>
      </c>
      <c r="O75" s="4"/>
      <c r="P75" s="4"/>
    </row>
    <row r="76" spans="2:16">
      <c r="B76" s="6" t="s">
        <v>50</v>
      </c>
      <c r="C76" s="6" t="s">
        <v>78</v>
      </c>
      <c r="D76" s="6" t="s">
        <v>18</v>
      </c>
      <c r="E76" s="7">
        <v>3</v>
      </c>
      <c r="F76" s="7">
        <v>3</v>
      </c>
      <c r="G76" s="7">
        <v>3</v>
      </c>
      <c r="H76" s="7">
        <v>3</v>
      </c>
      <c r="I76" s="7">
        <v>3</v>
      </c>
      <c r="J76" s="7">
        <v>3</v>
      </c>
      <c r="K76" s="7">
        <v>3</v>
      </c>
      <c r="L76" s="7">
        <v>3</v>
      </c>
      <c r="M76" s="7">
        <v>3</v>
      </c>
      <c r="N76" s="6" t="s">
        <v>39</v>
      </c>
      <c r="O76" s="6"/>
      <c r="P76" s="6"/>
    </row>
    <row r="77" spans="2:16">
      <c r="B77" s="4" t="s">
        <v>52</v>
      </c>
      <c r="C77" s="4" t="s">
        <v>78</v>
      </c>
      <c r="D77" s="4" t="s">
        <v>54</v>
      </c>
      <c r="E77" s="5">
        <v>2748.9</v>
      </c>
      <c r="F77" s="5"/>
      <c r="G77" s="5"/>
      <c r="H77" s="5"/>
      <c r="I77" s="5">
        <v>2638.9</v>
      </c>
      <c r="J77" s="5"/>
      <c r="K77" s="5"/>
      <c r="L77" s="5"/>
      <c r="M77" s="5">
        <v>2528.9</v>
      </c>
      <c r="N77" s="4" t="s">
        <v>19</v>
      </c>
      <c r="O77" s="4"/>
      <c r="P77" s="4"/>
    </row>
    <row r="78" spans="2:16">
      <c r="B78" s="6" t="s">
        <v>52</v>
      </c>
      <c r="C78" s="6" t="s">
        <v>78</v>
      </c>
      <c r="D78" s="6" t="s">
        <v>54</v>
      </c>
      <c r="E78" s="7">
        <v>75.900000000000006</v>
      </c>
      <c r="F78" s="7"/>
      <c r="G78" s="7"/>
      <c r="H78" s="7"/>
      <c r="I78" s="7">
        <v>70.400000000000006</v>
      </c>
      <c r="J78" s="7"/>
      <c r="K78" s="7"/>
      <c r="L78" s="7"/>
      <c r="M78" s="7">
        <v>68.2</v>
      </c>
      <c r="N78" s="6" t="s">
        <v>26</v>
      </c>
      <c r="O78" s="6"/>
      <c r="P78" s="6"/>
    </row>
    <row r="79" spans="2:16">
      <c r="B79" s="4" t="s">
        <v>52</v>
      </c>
      <c r="C79" s="4" t="s">
        <v>78</v>
      </c>
      <c r="D79" s="4" t="s">
        <v>54</v>
      </c>
      <c r="E79" s="5">
        <v>2.88</v>
      </c>
      <c r="F79" s="5"/>
      <c r="G79" s="5"/>
      <c r="H79" s="5"/>
      <c r="I79" s="5">
        <v>2.88</v>
      </c>
      <c r="J79" s="5"/>
      <c r="K79" s="5"/>
      <c r="L79" s="5"/>
      <c r="M79" s="5">
        <v>2.88</v>
      </c>
      <c r="N79" s="4" t="s">
        <v>29</v>
      </c>
      <c r="O79" s="4"/>
      <c r="P79" s="4"/>
    </row>
    <row r="80" spans="2:16">
      <c r="B80" s="6" t="s">
        <v>52</v>
      </c>
      <c r="C80" s="6" t="s">
        <v>78</v>
      </c>
      <c r="D80" s="6" t="s">
        <v>54</v>
      </c>
      <c r="E80" s="7">
        <v>0.40899999999999997</v>
      </c>
      <c r="F80" s="7"/>
      <c r="G80" s="7"/>
      <c r="H80" s="7"/>
      <c r="I80" s="7">
        <v>0.41</v>
      </c>
      <c r="J80" s="7"/>
      <c r="K80" s="7"/>
      <c r="L80" s="7"/>
      <c r="M80" s="7">
        <v>0.39400000000000002</v>
      </c>
      <c r="N80" s="6" t="s">
        <v>33</v>
      </c>
      <c r="O80" s="6"/>
      <c r="P80" s="6"/>
    </row>
    <row r="81" spans="2:16">
      <c r="B81" s="4" t="s">
        <v>52</v>
      </c>
      <c r="C81" s="4" t="s">
        <v>78</v>
      </c>
      <c r="D81" s="4" t="s">
        <v>54</v>
      </c>
      <c r="E81" s="5">
        <v>25</v>
      </c>
      <c r="F81" s="5">
        <v>25</v>
      </c>
      <c r="G81" s="5">
        <v>25</v>
      </c>
      <c r="H81" s="5">
        <v>25</v>
      </c>
      <c r="I81" s="5">
        <v>25</v>
      </c>
      <c r="J81" s="5">
        <v>25</v>
      </c>
      <c r="K81" s="5">
        <v>25</v>
      </c>
      <c r="L81" s="5">
        <v>25</v>
      </c>
      <c r="M81" s="5">
        <v>25</v>
      </c>
      <c r="N81" s="4" t="s">
        <v>36</v>
      </c>
      <c r="O81" s="4"/>
      <c r="P81" s="4"/>
    </row>
    <row r="82" spans="2:16">
      <c r="B82" s="6" t="s">
        <v>52</v>
      </c>
      <c r="C82" s="6" t="s">
        <v>78</v>
      </c>
      <c r="D82" s="6" t="s">
        <v>54</v>
      </c>
      <c r="E82" s="7">
        <v>2</v>
      </c>
      <c r="F82" s="7">
        <v>2</v>
      </c>
      <c r="G82" s="7">
        <v>2</v>
      </c>
      <c r="H82" s="7">
        <v>2</v>
      </c>
      <c r="I82" s="7">
        <v>2</v>
      </c>
      <c r="J82" s="7">
        <v>2</v>
      </c>
      <c r="K82" s="7">
        <v>2</v>
      </c>
      <c r="L82" s="7">
        <v>2</v>
      </c>
      <c r="M82" s="7">
        <v>2</v>
      </c>
      <c r="N82" s="6" t="s">
        <v>39</v>
      </c>
      <c r="O82" s="6"/>
      <c r="P82" s="6"/>
    </row>
    <row r="83" spans="2:16">
      <c r="B83" s="4" t="s">
        <v>52</v>
      </c>
      <c r="C83" s="4" t="s">
        <v>78</v>
      </c>
      <c r="D83" s="4" t="s">
        <v>54</v>
      </c>
      <c r="E83" s="5">
        <v>1.8237000000000001</v>
      </c>
      <c r="F83" s="5"/>
      <c r="G83" s="5"/>
      <c r="H83" s="5"/>
      <c r="I83" s="5">
        <v>1.8137000000000001</v>
      </c>
      <c r="J83" s="5"/>
      <c r="K83" s="5"/>
      <c r="L83" s="5"/>
      <c r="M83" s="5">
        <v>1.9169</v>
      </c>
      <c r="N83" s="4" t="s">
        <v>71</v>
      </c>
      <c r="O83" s="4"/>
      <c r="P83" s="4"/>
    </row>
    <row r="84" spans="2:16">
      <c r="B84" s="6" t="s">
        <v>52</v>
      </c>
      <c r="C84" s="6" t="s">
        <v>78</v>
      </c>
      <c r="D84" s="6" t="s">
        <v>54</v>
      </c>
      <c r="E84" s="7">
        <v>0.14000000000000001</v>
      </c>
      <c r="F84" s="7"/>
      <c r="G84" s="7"/>
      <c r="H84" s="7"/>
      <c r="I84" s="7">
        <v>0.14000000000000001</v>
      </c>
      <c r="J84" s="7"/>
      <c r="K84" s="7"/>
      <c r="L84" s="7"/>
      <c r="M84" s="7">
        <v>0.13</v>
      </c>
      <c r="N84" s="6" t="s">
        <v>74</v>
      </c>
      <c r="O84" s="6"/>
      <c r="P84" s="6"/>
    </row>
    <row r="85" spans="2:16">
      <c r="B85" s="4" t="s">
        <v>56</v>
      </c>
      <c r="C85" s="4" t="s">
        <v>17</v>
      </c>
      <c r="D85" s="4" t="s">
        <v>54</v>
      </c>
      <c r="E85" s="5">
        <v>66</v>
      </c>
      <c r="F85" s="5"/>
      <c r="G85" s="5"/>
      <c r="H85" s="5"/>
      <c r="I85" s="5">
        <v>55</v>
      </c>
      <c r="J85" s="5"/>
      <c r="K85" s="5"/>
      <c r="L85" s="5"/>
      <c r="M85" s="5">
        <v>55</v>
      </c>
      <c r="N85" s="4" t="s">
        <v>19</v>
      </c>
      <c r="O85" s="4"/>
      <c r="P85" s="4"/>
    </row>
    <row r="86" spans="2:16">
      <c r="B86" s="6" t="s">
        <v>56</v>
      </c>
      <c r="C86" s="6" t="s">
        <v>17</v>
      </c>
      <c r="D86" s="6" t="s">
        <v>54</v>
      </c>
      <c r="E86" s="7">
        <v>2.1</v>
      </c>
      <c r="F86" s="7"/>
      <c r="G86" s="7"/>
      <c r="H86" s="7"/>
      <c r="I86" s="7">
        <v>2.1</v>
      </c>
      <c r="J86" s="7"/>
      <c r="K86" s="7"/>
      <c r="L86" s="7"/>
      <c r="M86" s="7">
        <v>1.9</v>
      </c>
      <c r="N86" s="6" t="s">
        <v>26</v>
      </c>
      <c r="O86" s="6"/>
      <c r="P86" s="6"/>
    </row>
    <row r="87" spans="2:16">
      <c r="B87" s="4" t="s">
        <v>56</v>
      </c>
      <c r="C87" s="4" t="s">
        <v>17</v>
      </c>
      <c r="D87" s="4" t="s">
        <v>54</v>
      </c>
      <c r="E87" s="5">
        <v>1.08</v>
      </c>
      <c r="F87" s="5"/>
      <c r="G87" s="5"/>
      <c r="H87" s="5"/>
      <c r="I87" s="5">
        <v>1.08</v>
      </c>
      <c r="J87" s="5"/>
      <c r="K87" s="5"/>
      <c r="L87" s="5"/>
      <c r="M87" s="5">
        <v>1.08</v>
      </c>
      <c r="N87" s="4" t="s">
        <v>29</v>
      </c>
      <c r="O87" s="4"/>
      <c r="P87" s="4"/>
    </row>
    <row r="88" spans="2:16">
      <c r="B88" s="6" t="s">
        <v>56</v>
      </c>
      <c r="C88" s="6" t="s">
        <v>17</v>
      </c>
      <c r="D88" s="6" t="s">
        <v>54</v>
      </c>
      <c r="E88" s="7">
        <v>1.03</v>
      </c>
      <c r="F88" s="7"/>
      <c r="G88" s="7"/>
      <c r="H88" s="7"/>
      <c r="I88" s="7">
        <v>1.04</v>
      </c>
      <c r="J88" s="7"/>
      <c r="K88" s="7"/>
      <c r="L88" s="7"/>
      <c r="M88" s="7">
        <v>1.04</v>
      </c>
      <c r="N88" s="6" t="s">
        <v>33</v>
      </c>
      <c r="O88" s="6"/>
      <c r="P88" s="6"/>
    </row>
    <row r="89" spans="2:16">
      <c r="B89" s="4" t="s">
        <v>56</v>
      </c>
      <c r="C89" s="4" t="s">
        <v>17</v>
      </c>
      <c r="D89" s="4" t="s">
        <v>54</v>
      </c>
      <c r="E89" s="5">
        <v>25</v>
      </c>
      <c r="F89" s="5">
        <v>25</v>
      </c>
      <c r="G89" s="5">
        <v>25</v>
      </c>
      <c r="H89" s="5">
        <v>25</v>
      </c>
      <c r="I89" s="5">
        <v>25</v>
      </c>
      <c r="J89" s="5">
        <v>25</v>
      </c>
      <c r="K89" s="5">
        <v>25</v>
      </c>
      <c r="L89" s="5">
        <v>25</v>
      </c>
      <c r="M89" s="5">
        <v>25</v>
      </c>
      <c r="N89" s="4" t="s">
        <v>36</v>
      </c>
      <c r="O89" s="4"/>
      <c r="P89" s="4"/>
    </row>
    <row r="90" spans="2:16">
      <c r="B90" s="6" t="s">
        <v>56</v>
      </c>
      <c r="C90" s="6" t="s">
        <v>17</v>
      </c>
      <c r="D90" s="6" t="s">
        <v>54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6" t="s">
        <v>39</v>
      </c>
      <c r="O90" s="6"/>
      <c r="P90" s="6"/>
    </row>
    <row r="91" spans="2:16">
      <c r="B91" s="4" t="s">
        <v>59</v>
      </c>
      <c r="C91" s="4" t="s">
        <v>78</v>
      </c>
      <c r="D91" s="4" t="s">
        <v>54</v>
      </c>
      <c r="E91" s="5">
        <v>483.8</v>
      </c>
      <c r="F91" s="5"/>
      <c r="G91" s="5"/>
      <c r="H91" s="5"/>
      <c r="I91" s="5">
        <v>461.8</v>
      </c>
      <c r="J91" s="5"/>
      <c r="K91" s="5"/>
      <c r="L91" s="5"/>
      <c r="M91" s="5">
        <v>439.8</v>
      </c>
      <c r="N91" s="4" t="s">
        <v>19</v>
      </c>
      <c r="O91" s="4"/>
      <c r="P91" s="4"/>
    </row>
    <row r="92" spans="2:16">
      <c r="B92" s="6" t="s">
        <v>59</v>
      </c>
      <c r="C92" s="6" t="s">
        <v>78</v>
      </c>
      <c r="D92" s="6" t="s">
        <v>54</v>
      </c>
      <c r="E92" s="7">
        <v>38</v>
      </c>
      <c r="F92" s="7"/>
      <c r="G92" s="7"/>
      <c r="H92" s="7"/>
      <c r="I92" s="7">
        <v>36.6</v>
      </c>
      <c r="J92" s="7"/>
      <c r="K92" s="7"/>
      <c r="L92" s="7"/>
      <c r="M92" s="7">
        <v>34.5</v>
      </c>
      <c r="N92" s="6" t="s">
        <v>26</v>
      </c>
      <c r="O92" s="6"/>
      <c r="P92" s="6"/>
    </row>
    <row r="93" spans="2:16">
      <c r="B93" s="4" t="s">
        <v>59</v>
      </c>
      <c r="C93" s="4" t="s">
        <v>78</v>
      </c>
      <c r="D93" s="4" t="s">
        <v>54</v>
      </c>
      <c r="E93" s="5">
        <v>1.44</v>
      </c>
      <c r="F93" s="5"/>
      <c r="G93" s="5"/>
      <c r="H93" s="5"/>
      <c r="I93" s="5">
        <v>1.44</v>
      </c>
      <c r="J93" s="5"/>
      <c r="K93" s="5"/>
      <c r="L93" s="5"/>
      <c r="M93" s="5">
        <v>1.44</v>
      </c>
      <c r="N93" s="4" t="s">
        <v>29</v>
      </c>
      <c r="O93" s="4"/>
      <c r="P93" s="4"/>
    </row>
    <row r="94" spans="2:16">
      <c r="B94" s="6" t="s">
        <v>59</v>
      </c>
      <c r="C94" s="6" t="s">
        <v>78</v>
      </c>
      <c r="D94" s="6" t="s">
        <v>54</v>
      </c>
      <c r="E94" s="7">
        <v>1.149</v>
      </c>
      <c r="F94" s="7"/>
      <c r="G94" s="7"/>
      <c r="H94" s="7"/>
      <c r="I94" s="7">
        <v>1.149</v>
      </c>
      <c r="J94" s="7"/>
      <c r="K94" s="7"/>
      <c r="L94" s="7"/>
      <c r="M94" s="7">
        <v>1.149</v>
      </c>
      <c r="N94" s="6" t="s">
        <v>33</v>
      </c>
      <c r="O94" s="6"/>
      <c r="P94" s="6"/>
    </row>
    <row r="95" spans="2:16">
      <c r="B95" s="4" t="s">
        <v>59</v>
      </c>
      <c r="C95" s="4" t="s">
        <v>78</v>
      </c>
      <c r="D95" s="4" t="s">
        <v>54</v>
      </c>
      <c r="E95" s="5">
        <v>25</v>
      </c>
      <c r="F95" s="5">
        <v>25</v>
      </c>
      <c r="G95" s="5">
        <v>25</v>
      </c>
      <c r="H95" s="5">
        <v>25</v>
      </c>
      <c r="I95" s="5">
        <v>25</v>
      </c>
      <c r="J95" s="5">
        <v>25</v>
      </c>
      <c r="K95" s="5">
        <v>25</v>
      </c>
      <c r="L95" s="5">
        <v>25</v>
      </c>
      <c r="M95" s="5">
        <v>25</v>
      </c>
      <c r="N95" s="4" t="s">
        <v>36</v>
      </c>
      <c r="O95" s="4"/>
      <c r="P95" s="4"/>
    </row>
    <row r="96" spans="2:16">
      <c r="B96" s="6" t="s">
        <v>59</v>
      </c>
      <c r="C96" s="6" t="s">
        <v>78</v>
      </c>
      <c r="D96" s="6" t="s">
        <v>54</v>
      </c>
      <c r="E96" s="7">
        <v>3</v>
      </c>
      <c r="F96" s="7">
        <v>3</v>
      </c>
      <c r="G96" s="7">
        <v>3</v>
      </c>
      <c r="H96" s="7">
        <v>3</v>
      </c>
      <c r="I96" s="7">
        <v>3</v>
      </c>
      <c r="J96" s="7">
        <v>3</v>
      </c>
      <c r="K96" s="7">
        <v>3</v>
      </c>
      <c r="L96" s="7">
        <v>3</v>
      </c>
      <c r="M96" s="7">
        <v>3</v>
      </c>
      <c r="N96" s="6" t="s">
        <v>39</v>
      </c>
      <c r="O96" s="6"/>
      <c r="P96" s="6"/>
    </row>
    <row r="97" spans="2:16">
      <c r="B97" s="4" t="s">
        <v>61</v>
      </c>
      <c r="C97" s="4"/>
      <c r="D97" s="4" t="s">
        <v>54</v>
      </c>
      <c r="E97" s="5"/>
      <c r="F97" s="5"/>
      <c r="G97" s="5"/>
      <c r="H97" s="5">
        <v>72.400000000000006</v>
      </c>
      <c r="I97" s="5">
        <v>72.400000000000006</v>
      </c>
      <c r="J97" s="5">
        <v>72.400000000000006</v>
      </c>
      <c r="K97" s="5">
        <v>72.400000000000006</v>
      </c>
      <c r="L97" s="5"/>
      <c r="M97" s="5">
        <v>72.400000000000006</v>
      </c>
      <c r="N97" s="4" t="s">
        <v>19</v>
      </c>
      <c r="O97" s="4"/>
      <c r="P97" s="4"/>
    </row>
    <row r="98" spans="2:16">
      <c r="B98" s="6" t="s">
        <v>61</v>
      </c>
      <c r="C98" s="6"/>
      <c r="D98" s="6" t="s">
        <v>54</v>
      </c>
      <c r="E98" s="7"/>
      <c r="F98" s="7"/>
      <c r="G98" s="7"/>
      <c r="H98" s="7">
        <v>1.2</v>
      </c>
      <c r="I98" s="7">
        <v>1.2</v>
      </c>
      <c r="J98" s="7">
        <v>1.2</v>
      </c>
      <c r="K98" s="7">
        <v>1.2</v>
      </c>
      <c r="L98" s="7"/>
      <c r="M98" s="7">
        <v>1.2</v>
      </c>
      <c r="N98" s="6" t="s">
        <v>26</v>
      </c>
      <c r="O98" s="6"/>
      <c r="P98" s="6"/>
    </row>
    <row r="99" spans="2:16">
      <c r="B99" s="4" t="s">
        <v>61</v>
      </c>
      <c r="C99" s="4"/>
      <c r="D99" s="4" t="s">
        <v>54</v>
      </c>
      <c r="E99" s="5"/>
      <c r="F99" s="5"/>
      <c r="G99" s="5"/>
      <c r="H99" s="5">
        <v>0.72</v>
      </c>
      <c r="I99" s="5">
        <v>0.72</v>
      </c>
      <c r="J99" s="5">
        <v>0.72</v>
      </c>
      <c r="K99" s="5">
        <v>0.72</v>
      </c>
      <c r="L99" s="5"/>
      <c r="M99" s="5">
        <v>0.72</v>
      </c>
      <c r="N99" s="4" t="s">
        <v>29</v>
      </c>
      <c r="O99" s="4"/>
      <c r="P99" s="4"/>
    </row>
    <row r="100" spans="2:16">
      <c r="B100" s="6" t="s">
        <v>61</v>
      </c>
      <c r="C100" s="6"/>
      <c r="D100" s="6" t="s">
        <v>54</v>
      </c>
      <c r="E100" s="7"/>
      <c r="F100" s="7"/>
      <c r="G100" s="7"/>
      <c r="H100" s="7">
        <v>0.99</v>
      </c>
      <c r="I100" s="7">
        <v>0.99</v>
      </c>
      <c r="J100" s="7">
        <v>0.99</v>
      </c>
      <c r="K100" s="7">
        <v>0.99</v>
      </c>
      <c r="L100" s="7"/>
      <c r="M100" s="7">
        <v>0.99</v>
      </c>
      <c r="N100" s="6" t="s">
        <v>33</v>
      </c>
      <c r="O100" s="6"/>
      <c r="P100" s="6"/>
    </row>
    <row r="101" spans="2:16">
      <c r="B101" s="4" t="s">
        <v>61</v>
      </c>
      <c r="C101" s="4"/>
      <c r="D101" s="4" t="s">
        <v>54</v>
      </c>
      <c r="E101" s="5">
        <v>20</v>
      </c>
      <c r="F101" s="5">
        <v>20</v>
      </c>
      <c r="G101" s="5">
        <v>20</v>
      </c>
      <c r="H101" s="5">
        <v>20</v>
      </c>
      <c r="I101" s="5">
        <v>20</v>
      </c>
      <c r="J101" s="5">
        <v>20</v>
      </c>
      <c r="K101" s="5">
        <v>20</v>
      </c>
      <c r="L101" s="5">
        <v>20</v>
      </c>
      <c r="M101" s="5">
        <v>20</v>
      </c>
      <c r="N101" s="4" t="s">
        <v>36</v>
      </c>
      <c r="O101" s="4"/>
      <c r="P101" s="4"/>
    </row>
    <row r="102" spans="2:16">
      <c r="B102" s="6" t="s">
        <v>61</v>
      </c>
      <c r="C102" s="6"/>
      <c r="D102" s="6" t="s">
        <v>54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6" t="s">
        <v>39</v>
      </c>
      <c r="O102" s="6"/>
      <c r="P102" s="6"/>
    </row>
    <row r="103" spans="2:16">
      <c r="B103" s="4" t="s">
        <v>63</v>
      </c>
      <c r="C103" s="4"/>
      <c r="D103" s="4" t="s">
        <v>54</v>
      </c>
      <c r="E103" s="5"/>
      <c r="F103" s="5"/>
      <c r="G103" s="5"/>
      <c r="H103" s="5">
        <v>1054.7</v>
      </c>
      <c r="I103" s="5">
        <v>1028.3</v>
      </c>
      <c r="J103" s="5">
        <v>1002</v>
      </c>
      <c r="K103" s="5">
        <v>976.9</v>
      </c>
      <c r="L103" s="5"/>
      <c r="M103" s="5">
        <v>951.9</v>
      </c>
      <c r="N103" s="4" t="s">
        <v>19</v>
      </c>
      <c r="O103" s="4"/>
      <c r="P103" s="4"/>
    </row>
    <row r="104" spans="2:16">
      <c r="B104" s="6" t="s">
        <v>63</v>
      </c>
      <c r="C104" s="6"/>
      <c r="D104" s="6" t="s">
        <v>54</v>
      </c>
      <c r="E104" s="7"/>
      <c r="F104" s="7"/>
      <c r="G104" s="7"/>
      <c r="H104" s="7">
        <v>2.2000000000000002</v>
      </c>
      <c r="I104" s="7">
        <v>2.1</v>
      </c>
      <c r="J104" s="7">
        <v>2.1</v>
      </c>
      <c r="K104" s="7">
        <v>2</v>
      </c>
      <c r="L104" s="7"/>
      <c r="M104" s="7">
        <v>2</v>
      </c>
      <c r="N104" s="6" t="s">
        <v>26</v>
      </c>
      <c r="O104" s="6"/>
      <c r="P104" s="6"/>
    </row>
    <row r="105" spans="2:16">
      <c r="B105" s="4" t="s">
        <v>63</v>
      </c>
      <c r="C105" s="4"/>
      <c r="D105" s="4" t="s">
        <v>54</v>
      </c>
      <c r="E105" s="5"/>
      <c r="F105" s="5"/>
      <c r="G105" s="5"/>
      <c r="H105" s="5">
        <v>0.72</v>
      </c>
      <c r="I105" s="5">
        <v>0.72</v>
      </c>
      <c r="J105" s="5">
        <v>0.72</v>
      </c>
      <c r="K105" s="5">
        <v>0.72</v>
      </c>
      <c r="L105" s="5"/>
      <c r="M105" s="5">
        <v>0.72</v>
      </c>
      <c r="N105" s="4" t="s">
        <v>29</v>
      </c>
      <c r="O105" s="4"/>
      <c r="P105" s="4"/>
    </row>
    <row r="106" spans="2:16">
      <c r="B106" s="6" t="s">
        <v>63</v>
      </c>
      <c r="C106" s="6"/>
      <c r="D106" s="6" t="s">
        <v>54</v>
      </c>
      <c r="E106" s="7"/>
      <c r="F106" s="7"/>
      <c r="G106" s="7"/>
      <c r="H106" s="7">
        <v>2.8</v>
      </c>
      <c r="I106" s="7">
        <v>2.8</v>
      </c>
      <c r="J106" s="7">
        <v>2.8</v>
      </c>
      <c r="K106" s="7">
        <v>2.8</v>
      </c>
      <c r="L106" s="7"/>
      <c r="M106" s="7">
        <v>2.9169999999999998</v>
      </c>
      <c r="N106" s="6" t="s">
        <v>33</v>
      </c>
      <c r="O106" s="6"/>
      <c r="P106" s="6"/>
    </row>
    <row r="107" spans="2:16">
      <c r="B107" s="4" t="s">
        <v>63</v>
      </c>
      <c r="C107" s="4"/>
      <c r="D107" s="4" t="s">
        <v>54</v>
      </c>
      <c r="E107" s="5">
        <v>25</v>
      </c>
      <c r="F107" s="5">
        <v>25</v>
      </c>
      <c r="G107" s="5">
        <v>25</v>
      </c>
      <c r="H107" s="5">
        <v>25</v>
      </c>
      <c r="I107" s="5">
        <v>25</v>
      </c>
      <c r="J107" s="5">
        <v>25</v>
      </c>
      <c r="K107" s="5">
        <v>25</v>
      </c>
      <c r="L107" s="5">
        <v>25</v>
      </c>
      <c r="M107" s="5">
        <v>25</v>
      </c>
      <c r="N107" s="4" t="s">
        <v>36</v>
      </c>
      <c r="O107" s="4"/>
      <c r="P107" s="4"/>
    </row>
    <row r="108" spans="2:16">
      <c r="B108" s="6" t="s">
        <v>63</v>
      </c>
      <c r="C108" s="6"/>
      <c r="D108" s="6" t="s">
        <v>54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6" t="s">
        <v>39</v>
      </c>
      <c r="O108" s="6"/>
      <c r="P108" s="6"/>
    </row>
    <row r="109" spans="2:16">
      <c r="B109" s="4" t="s">
        <v>66</v>
      </c>
      <c r="C109" s="4"/>
      <c r="D109" s="4"/>
      <c r="E109" s="5"/>
      <c r="F109" s="5">
        <v>2100.8000000000002</v>
      </c>
      <c r="G109" s="5"/>
      <c r="H109" s="5">
        <v>1390.7</v>
      </c>
      <c r="I109" s="5">
        <v>1117.5999999999999</v>
      </c>
      <c r="J109" s="5">
        <v>1028.7</v>
      </c>
      <c r="K109" s="5">
        <v>939.8</v>
      </c>
      <c r="L109" s="5">
        <v>850.9</v>
      </c>
      <c r="M109" s="5">
        <v>762</v>
      </c>
      <c r="N109" s="4" t="s">
        <v>19</v>
      </c>
      <c r="O109" s="4"/>
      <c r="P109" s="4"/>
    </row>
    <row r="110" spans="2:16">
      <c r="B110" s="6" t="s">
        <v>66</v>
      </c>
      <c r="C110" s="6"/>
      <c r="D110" s="6"/>
      <c r="E110" s="7"/>
      <c r="F110" s="7">
        <v>48.2</v>
      </c>
      <c r="G110" s="7"/>
      <c r="H110" s="7">
        <v>31</v>
      </c>
      <c r="I110" s="7">
        <v>24.5</v>
      </c>
      <c r="J110" s="7">
        <v>22.3</v>
      </c>
      <c r="K110" s="7">
        <v>20.2</v>
      </c>
      <c r="L110" s="7">
        <v>18</v>
      </c>
      <c r="M110" s="7">
        <v>15.9</v>
      </c>
      <c r="N110" s="6" t="s">
        <v>26</v>
      </c>
      <c r="O110" s="6"/>
      <c r="P110" s="6"/>
    </row>
    <row r="111" spans="2:16">
      <c r="B111" s="4" t="s">
        <v>66</v>
      </c>
      <c r="C111" s="4"/>
      <c r="D111" s="4"/>
      <c r="E111" s="5"/>
      <c r="F111" s="5">
        <v>0.50039999999999996</v>
      </c>
      <c r="G111" s="5"/>
      <c r="H111" s="5">
        <v>0.50039999999999996</v>
      </c>
      <c r="I111" s="5">
        <v>0.50039999999999996</v>
      </c>
      <c r="J111" s="5">
        <v>0.50039999999999996</v>
      </c>
      <c r="K111" s="5">
        <v>0.50039999999999996</v>
      </c>
      <c r="L111" s="5">
        <v>0.50039999999999996</v>
      </c>
      <c r="M111" s="5">
        <v>0.50039999999999996</v>
      </c>
      <c r="N111" s="4" t="s">
        <v>29</v>
      </c>
      <c r="O111" s="4"/>
      <c r="P111" s="4"/>
    </row>
    <row r="112" spans="2:16">
      <c r="B112" s="6" t="s">
        <v>66</v>
      </c>
      <c r="C112" s="6"/>
      <c r="D112" s="6"/>
      <c r="E112" s="7"/>
      <c r="F112" s="7">
        <v>0.86</v>
      </c>
      <c r="G112" s="7"/>
      <c r="H112" s="7">
        <v>0.86</v>
      </c>
      <c r="I112" s="7">
        <v>0.86</v>
      </c>
      <c r="J112" s="7">
        <v>0.86</v>
      </c>
      <c r="K112" s="7">
        <v>0.86</v>
      </c>
      <c r="L112" s="7">
        <v>0.86</v>
      </c>
      <c r="M112" s="7">
        <v>0.86</v>
      </c>
      <c r="N112" s="6" t="s">
        <v>80</v>
      </c>
      <c r="O112" s="6"/>
      <c r="P112" s="6"/>
    </row>
    <row r="113" spans="2:16">
      <c r="B113" s="4" t="s">
        <v>66</v>
      </c>
      <c r="C113" s="4"/>
      <c r="D113" s="4"/>
      <c r="E113" s="5">
        <v>20</v>
      </c>
      <c r="F113" s="5">
        <v>20</v>
      </c>
      <c r="G113" s="5">
        <v>20</v>
      </c>
      <c r="H113" s="5">
        <v>20</v>
      </c>
      <c r="I113" s="5">
        <v>20</v>
      </c>
      <c r="J113" s="5">
        <v>20</v>
      </c>
      <c r="K113" s="5">
        <v>20</v>
      </c>
      <c r="L113" s="5">
        <v>20</v>
      </c>
      <c r="M113" s="5">
        <v>20</v>
      </c>
      <c r="N113" s="4" t="s">
        <v>36</v>
      </c>
      <c r="O113" s="4"/>
      <c r="P113" s="4"/>
    </row>
    <row r="114" spans="2:16">
      <c r="B114" s="6" t="s">
        <v>66</v>
      </c>
      <c r="C114" s="6"/>
      <c r="D114" s="6"/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6" t="s">
        <v>39</v>
      </c>
      <c r="O114" s="6"/>
      <c r="P114" s="6"/>
    </row>
    <row r="115" spans="2:16">
      <c r="B115" s="4" t="s">
        <v>66</v>
      </c>
      <c r="C115" s="4"/>
      <c r="D115" s="4"/>
      <c r="E115" s="5">
        <v>0.16666700000000001</v>
      </c>
      <c r="F115" s="5">
        <v>0.16666700000000001</v>
      </c>
      <c r="G115" s="5">
        <v>0.16666700000000001</v>
      </c>
      <c r="H115" s="5">
        <v>0.16666700000000001</v>
      </c>
      <c r="I115" s="5">
        <v>0.16666700000000001</v>
      </c>
      <c r="J115" s="5">
        <v>0.16666700000000001</v>
      </c>
      <c r="K115" s="5">
        <v>0.16666700000000001</v>
      </c>
      <c r="L115" s="5">
        <v>0.16666700000000001</v>
      </c>
      <c r="M115" s="5">
        <v>0.16666700000000001</v>
      </c>
      <c r="N115" s="4" t="s">
        <v>81</v>
      </c>
      <c r="O115" s="4" t="s">
        <v>82</v>
      </c>
      <c r="P115" s="4" t="s">
        <v>83</v>
      </c>
    </row>
    <row r="116" spans="2:16">
      <c r="B116" s="6" t="s">
        <v>66</v>
      </c>
      <c r="C116" s="6"/>
      <c r="D116" s="6"/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6" t="s">
        <v>81</v>
      </c>
      <c r="O116" s="6" t="s">
        <v>84</v>
      </c>
      <c r="P116" s="6" t="s">
        <v>83</v>
      </c>
    </row>
    <row r="117" spans="2:16">
      <c r="B117" s="4" t="s">
        <v>66</v>
      </c>
      <c r="C117" s="4"/>
      <c r="D117" s="4"/>
      <c r="E117" s="5">
        <v>8.76</v>
      </c>
      <c r="F117" s="5">
        <v>8.76</v>
      </c>
      <c r="G117" s="5">
        <v>8.76</v>
      </c>
      <c r="H117" s="5">
        <v>8.76</v>
      </c>
      <c r="I117" s="5">
        <v>8.76</v>
      </c>
      <c r="J117" s="5">
        <v>8.76</v>
      </c>
      <c r="K117" s="5">
        <v>8.76</v>
      </c>
      <c r="L117" s="5">
        <v>8.76</v>
      </c>
      <c r="M117" s="5">
        <v>8.76</v>
      </c>
      <c r="N117" s="4" t="s">
        <v>85</v>
      </c>
      <c r="O117" s="4"/>
      <c r="P117" s="4"/>
    </row>
    <row r="118" spans="2:16">
      <c r="B118" s="6" t="s">
        <v>66</v>
      </c>
      <c r="C118" s="6"/>
      <c r="D118" s="6"/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6" t="s">
        <v>86</v>
      </c>
      <c r="O118" s="6"/>
      <c r="P118" s="6" t="s">
        <v>87</v>
      </c>
    </row>
    <row r="119" spans="2:16">
      <c r="B119" s="4" t="s">
        <v>69</v>
      </c>
      <c r="C119" s="4"/>
      <c r="D119" s="4"/>
      <c r="E119" s="5"/>
      <c r="F119" s="5">
        <v>3721.6</v>
      </c>
      <c r="G119" s="5"/>
      <c r="H119" s="5">
        <v>2436.3000000000002</v>
      </c>
      <c r="I119" s="5">
        <v>1940.6</v>
      </c>
      <c r="J119" s="5">
        <v>1780.6</v>
      </c>
      <c r="K119" s="5">
        <v>1617.6</v>
      </c>
      <c r="L119" s="5">
        <v>1457.5</v>
      </c>
      <c r="M119" s="5">
        <v>1297.5</v>
      </c>
      <c r="N119" s="4" t="s">
        <v>19</v>
      </c>
      <c r="O119" s="4"/>
      <c r="P119" s="4"/>
    </row>
    <row r="120" spans="2:16">
      <c r="B120" s="6" t="s">
        <v>69</v>
      </c>
      <c r="C120" s="6"/>
      <c r="D120" s="6"/>
      <c r="E120" s="7"/>
      <c r="F120" s="7">
        <v>87.3</v>
      </c>
      <c r="G120" s="7"/>
      <c r="H120" s="7">
        <v>56.3</v>
      </c>
      <c r="I120" s="7">
        <v>44.3</v>
      </c>
      <c r="J120" s="7">
        <v>40.4</v>
      </c>
      <c r="K120" s="7">
        <v>36.5</v>
      </c>
      <c r="L120" s="7">
        <v>32.700000000000003</v>
      </c>
      <c r="M120" s="7">
        <v>28.8</v>
      </c>
      <c r="N120" s="6" t="s">
        <v>26</v>
      </c>
      <c r="O120" s="6"/>
      <c r="P120" s="6"/>
    </row>
    <row r="121" spans="2:16">
      <c r="B121" s="4" t="s">
        <v>69</v>
      </c>
      <c r="C121" s="4"/>
      <c r="D121" s="4"/>
      <c r="E121" s="5"/>
      <c r="F121" s="5">
        <v>0.50039999999999996</v>
      </c>
      <c r="G121" s="5"/>
      <c r="H121" s="5">
        <v>0.50039999999999996</v>
      </c>
      <c r="I121" s="5">
        <v>0.50039999999999996</v>
      </c>
      <c r="J121" s="5">
        <v>0.50039999999999996</v>
      </c>
      <c r="K121" s="5">
        <v>0.50039999999999996</v>
      </c>
      <c r="L121" s="5">
        <v>0.50039999999999996</v>
      </c>
      <c r="M121" s="5">
        <v>0.50039999999999996</v>
      </c>
      <c r="N121" s="4" t="s">
        <v>29</v>
      </c>
      <c r="O121" s="4"/>
      <c r="P121" s="4"/>
    </row>
    <row r="122" spans="2:16">
      <c r="B122" s="6" t="s">
        <v>69</v>
      </c>
      <c r="C122" s="6"/>
      <c r="D122" s="6"/>
      <c r="E122" s="7"/>
      <c r="F122" s="7">
        <v>0.86</v>
      </c>
      <c r="G122" s="7"/>
      <c r="H122" s="7">
        <v>0.86</v>
      </c>
      <c r="I122" s="7">
        <v>0.86</v>
      </c>
      <c r="J122" s="7">
        <v>0.86</v>
      </c>
      <c r="K122" s="7">
        <v>0.86</v>
      </c>
      <c r="L122" s="7">
        <v>0.86</v>
      </c>
      <c r="M122" s="7">
        <v>0.86</v>
      </c>
      <c r="N122" s="6" t="s">
        <v>80</v>
      </c>
      <c r="O122" s="6"/>
      <c r="P122" s="6"/>
    </row>
    <row r="123" spans="2:16">
      <c r="B123" s="4" t="s">
        <v>69</v>
      </c>
      <c r="C123" s="4"/>
      <c r="D123" s="4"/>
      <c r="E123" s="5">
        <v>20</v>
      </c>
      <c r="F123" s="5">
        <v>20</v>
      </c>
      <c r="G123" s="5">
        <v>20</v>
      </c>
      <c r="H123" s="5">
        <v>20</v>
      </c>
      <c r="I123" s="5">
        <v>20</v>
      </c>
      <c r="J123" s="5">
        <v>20</v>
      </c>
      <c r="K123" s="5">
        <v>20</v>
      </c>
      <c r="L123" s="5">
        <v>20</v>
      </c>
      <c r="M123" s="5">
        <v>20</v>
      </c>
      <c r="N123" s="4" t="s">
        <v>36</v>
      </c>
      <c r="O123" s="4"/>
      <c r="P123" s="4"/>
    </row>
    <row r="124" spans="2:16">
      <c r="B124" s="6" t="s">
        <v>69</v>
      </c>
      <c r="C124" s="6"/>
      <c r="D124" s="6"/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6" t="s">
        <v>39</v>
      </c>
      <c r="O124" s="6"/>
      <c r="P124" s="6"/>
    </row>
    <row r="125" spans="2:16">
      <c r="B125" s="4" t="s">
        <v>69</v>
      </c>
      <c r="C125" s="4"/>
      <c r="D125" s="4"/>
      <c r="E125" s="5">
        <v>0.33333299999999999</v>
      </c>
      <c r="F125" s="5">
        <v>0.33333299999999999</v>
      </c>
      <c r="G125" s="5">
        <v>0.33333299999999999</v>
      </c>
      <c r="H125" s="5">
        <v>0.33333299999999999</v>
      </c>
      <c r="I125" s="5">
        <v>0.33333299999999999</v>
      </c>
      <c r="J125" s="5">
        <v>0.33333299999999999</v>
      </c>
      <c r="K125" s="5">
        <v>0.33333299999999999</v>
      </c>
      <c r="L125" s="5">
        <v>0.33333299999999999</v>
      </c>
      <c r="M125" s="5">
        <v>0.33333299999999999</v>
      </c>
      <c r="N125" s="4" t="s">
        <v>81</v>
      </c>
      <c r="O125" s="4" t="s">
        <v>82</v>
      </c>
      <c r="P125" s="4" t="s">
        <v>83</v>
      </c>
    </row>
    <row r="126" spans="2:16">
      <c r="B126" s="6" t="s">
        <v>69</v>
      </c>
      <c r="C126" s="6"/>
      <c r="D126" s="6"/>
      <c r="E126" s="7">
        <v>1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  <c r="N126" s="6" t="s">
        <v>81</v>
      </c>
      <c r="O126" s="6" t="s">
        <v>84</v>
      </c>
      <c r="P126" s="6" t="s">
        <v>83</v>
      </c>
    </row>
    <row r="127" spans="2:16">
      <c r="B127" s="4" t="s">
        <v>69</v>
      </c>
      <c r="C127" s="4"/>
      <c r="D127" s="4"/>
      <c r="E127" s="5">
        <v>8.76</v>
      </c>
      <c r="F127" s="5">
        <v>8.76</v>
      </c>
      <c r="G127" s="5">
        <v>8.76</v>
      </c>
      <c r="H127" s="5">
        <v>8.76</v>
      </c>
      <c r="I127" s="5">
        <v>8.76</v>
      </c>
      <c r="J127" s="5">
        <v>8.76</v>
      </c>
      <c r="K127" s="5">
        <v>8.76</v>
      </c>
      <c r="L127" s="5">
        <v>8.76</v>
      </c>
      <c r="M127" s="5">
        <v>8.76</v>
      </c>
      <c r="N127" s="4" t="s">
        <v>85</v>
      </c>
      <c r="O127" s="4"/>
      <c r="P127" s="4"/>
    </row>
    <row r="128" spans="2:16">
      <c r="B128" s="6" t="s">
        <v>69</v>
      </c>
      <c r="C128" s="6"/>
      <c r="D128" s="6"/>
      <c r="E128" s="7">
        <v>1</v>
      </c>
      <c r="F128" s="7">
        <v>1</v>
      </c>
      <c r="G128" s="7">
        <v>1</v>
      </c>
      <c r="H128" s="7">
        <v>1</v>
      </c>
      <c r="I128" s="7">
        <v>1</v>
      </c>
      <c r="J128" s="7">
        <v>1</v>
      </c>
      <c r="K128" s="7">
        <v>1</v>
      </c>
      <c r="L128" s="7">
        <v>1</v>
      </c>
      <c r="M128" s="7">
        <v>1</v>
      </c>
      <c r="N128" s="6" t="s">
        <v>86</v>
      </c>
      <c r="O128" s="6"/>
      <c r="P128" s="6" t="s">
        <v>87</v>
      </c>
    </row>
    <row r="129" spans="2:16">
      <c r="B129" s="4" t="s">
        <v>72</v>
      </c>
      <c r="C129" s="4" t="s">
        <v>17</v>
      </c>
      <c r="D129" s="4" t="s">
        <v>88</v>
      </c>
      <c r="E129" s="5">
        <v>0.52</v>
      </c>
      <c r="F129" s="5">
        <v>0.52</v>
      </c>
      <c r="G129" s="5">
        <v>0.52</v>
      </c>
      <c r="H129" s="5">
        <v>0.52</v>
      </c>
      <c r="I129" s="5">
        <v>0.52</v>
      </c>
      <c r="J129" s="5">
        <v>0.52</v>
      </c>
      <c r="K129" s="5">
        <v>0.52</v>
      </c>
      <c r="L129" s="5">
        <v>0.52</v>
      </c>
      <c r="M129" s="5">
        <v>0.52</v>
      </c>
      <c r="N129" s="4" t="s">
        <v>33</v>
      </c>
      <c r="O129" s="4"/>
      <c r="P129" s="4"/>
    </row>
    <row r="130" spans="2:16">
      <c r="B130" s="6" t="s">
        <v>72</v>
      </c>
      <c r="C130" s="6" t="s">
        <v>17</v>
      </c>
      <c r="D130" s="6" t="s">
        <v>88</v>
      </c>
      <c r="E130" s="7">
        <v>2917</v>
      </c>
      <c r="F130" s="7">
        <v>2917</v>
      </c>
      <c r="G130" s="7">
        <v>2917</v>
      </c>
      <c r="H130" s="7">
        <v>2917</v>
      </c>
      <c r="I130" s="7">
        <v>2917</v>
      </c>
      <c r="J130" s="7">
        <v>2917</v>
      </c>
      <c r="K130" s="7">
        <v>2917</v>
      </c>
      <c r="L130" s="7">
        <v>2917</v>
      </c>
      <c r="M130" s="7">
        <v>2917</v>
      </c>
      <c r="N130" s="6" t="s">
        <v>19</v>
      </c>
      <c r="O130" s="6"/>
      <c r="P130" s="6"/>
    </row>
    <row r="131" spans="2:16">
      <c r="B131" s="4" t="s">
        <v>72</v>
      </c>
      <c r="C131" s="4" t="s">
        <v>17</v>
      </c>
      <c r="D131" s="4" t="s">
        <v>88</v>
      </c>
      <c r="E131" s="5">
        <v>70.599999999999994</v>
      </c>
      <c r="F131" s="5">
        <v>70.599999999999994</v>
      </c>
      <c r="G131" s="5">
        <v>70.599999999999994</v>
      </c>
      <c r="H131" s="5">
        <v>70.599999999999994</v>
      </c>
      <c r="I131" s="5">
        <v>70.599999999999994</v>
      </c>
      <c r="J131" s="5">
        <v>70.599999999999994</v>
      </c>
      <c r="K131" s="5">
        <v>70.599999999999994</v>
      </c>
      <c r="L131" s="5">
        <v>70.599999999999994</v>
      </c>
      <c r="M131" s="5">
        <v>70.599999999999994</v>
      </c>
      <c r="N131" s="4" t="s">
        <v>26</v>
      </c>
      <c r="O131" s="4"/>
      <c r="P131" s="4"/>
    </row>
    <row r="132" spans="2:16">
      <c r="B132" s="6" t="s">
        <v>72</v>
      </c>
      <c r="C132" s="6" t="s">
        <v>17</v>
      </c>
      <c r="D132" s="6" t="s">
        <v>88</v>
      </c>
      <c r="E132" s="7">
        <v>4.68</v>
      </c>
      <c r="F132" s="7">
        <v>4.68</v>
      </c>
      <c r="G132" s="7">
        <v>4.68</v>
      </c>
      <c r="H132" s="7">
        <v>4.68</v>
      </c>
      <c r="I132" s="7">
        <v>4.68</v>
      </c>
      <c r="J132" s="7">
        <v>4.68</v>
      </c>
      <c r="K132" s="7">
        <v>4.68</v>
      </c>
      <c r="L132" s="7">
        <v>4.68</v>
      </c>
      <c r="M132" s="7">
        <v>4.68</v>
      </c>
      <c r="N132" s="6" t="s">
        <v>29</v>
      </c>
      <c r="O132" s="6"/>
      <c r="P132" s="6"/>
    </row>
    <row r="133" spans="2:16">
      <c r="B133" s="4" t="s">
        <v>72</v>
      </c>
      <c r="C133" s="4" t="s">
        <v>17</v>
      </c>
      <c r="D133" s="4" t="s">
        <v>88</v>
      </c>
      <c r="E133" s="5">
        <v>0.55559999999999998</v>
      </c>
      <c r="F133" s="5">
        <v>0.55559999999999998</v>
      </c>
      <c r="G133" s="5">
        <v>0.55559999999999998</v>
      </c>
      <c r="H133" s="5">
        <v>0.55559999999999998</v>
      </c>
      <c r="I133" s="5">
        <v>0.55559999999999998</v>
      </c>
      <c r="J133" s="5">
        <v>0.55559999999999998</v>
      </c>
      <c r="K133" s="5">
        <v>0.55559999999999998</v>
      </c>
      <c r="L133" s="5">
        <v>0.55559999999999998</v>
      </c>
      <c r="M133" s="5">
        <v>0.55559999999999998</v>
      </c>
      <c r="N133" s="4" t="s">
        <v>71</v>
      </c>
      <c r="O133" s="4"/>
      <c r="P133" s="4"/>
    </row>
    <row r="134" spans="2:16">
      <c r="B134" s="6" t="s">
        <v>72</v>
      </c>
      <c r="C134" s="6" t="s">
        <v>17</v>
      </c>
      <c r="D134" s="6" t="s">
        <v>88</v>
      </c>
      <c r="E134" s="7">
        <v>0.15</v>
      </c>
      <c r="F134" s="7">
        <v>0.15</v>
      </c>
      <c r="G134" s="7">
        <v>0.15</v>
      </c>
      <c r="H134" s="7">
        <v>0.15</v>
      </c>
      <c r="I134" s="7">
        <v>0.15</v>
      </c>
      <c r="J134" s="7">
        <v>0.15</v>
      </c>
      <c r="K134" s="7">
        <v>0.15</v>
      </c>
      <c r="L134" s="7">
        <v>0.15</v>
      </c>
      <c r="M134" s="7">
        <v>0.15</v>
      </c>
      <c r="N134" s="6" t="s">
        <v>74</v>
      </c>
      <c r="O134" s="6"/>
      <c r="P134" s="6"/>
    </row>
    <row r="135" spans="2:16">
      <c r="B135" s="4" t="s">
        <v>72</v>
      </c>
      <c r="C135" s="4" t="s">
        <v>17</v>
      </c>
      <c r="D135" s="4" t="s">
        <v>88</v>
      </c>
      <c r="E135" s="5">
        <v>25</v>
      </c>
      <c r="F135" s="5">
        <v>25</v>
      </c>
      <c r="G135" s="5">
        <v>25</v>
      </c>
      <c r="H135" s="5">
        <v>25</v>
      </c>
      <c r="I135" s="5">
        <v>25</v>
      </c>
      <c r="J135" s="5">
        <v>25</v>
      </c>
      <c r="K135" s="5">
        <v>25</v>
      </c>
      <c r="L135" s="5">
        <v>25</v>
      </c>
      <c r="M135" s="5">
        <v>25</v>
      </c>
      <c r="N135" s="4" t="s">
        <v>36</v>
      </c>
      <c r="O135" s="4"/>
      <c r="P135" s="4"/>
    </row>
    <row r="136" spans="2:16">
      <c r="B136" s="6" t="s">
        <v>72</v>
      </c>
      <c r="C136" s="6" t="s">
        <v>17</v>
      </c>
      <c r="D136" s="6" t="s">
        <v>88</v>
      </c>
      <c r="E136" s="7">
        <v>4</v>
      </c>
      <c r="F136" s="7">
        <v>4</v>
      </c>
      <c r="G136" s="7">
        <v>4</v>
      </c>
      <c r="H136" s="7">
        <v>4</v>
      </c>
      <c r="I136" s="7">
        <v>4</v>
      </c>
      <c r="J136" s="7">
        <v>4</v>
      </c>
      <c r="K136" s="7">
        <v>4</v>
      </c>
      <c r="L136" s="7">
        <v>4</v>
      </c>
      <c r="M136" s="7">
        <v>4</v>
      </c>
      <c r="N136" s="6" t="s">
        <v>39</v>
      </c>
      <c r="O136" s="6"/>
      <c r="P136" s="6"/>
    </row>
  </sheetData>
  <mergeCells count="1"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CEB8-AA92-4CA1-8AEB-55E639D738E2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89</v>
      </c>
      <c r="C1" s="8" t="s">
        <v>90</v>
      </c>
      <c r="D1" s="8"/>
      <c r="E1" s="8"/>
      <c r="F1" s="9" t="s">
        <v>91</v>
      </c>
      <c r="G1" s="8"/>
      <c r="H1" s="10"/>
      <c r="I1" s="8" t="s">
        <v>92</v>
      </c>
      <c r="J1" s="8"/>
      <c r="K1" s="8"/>
      <c r="L1" s="8"/>
      <c r="M1" s="8"/>
      <c r="N1" s="8"/>
      <c r="O1" s="11" t="s">
        <v>93</v>
      </c>
      <c r="P1" s="12"/>
      <c r="Q1" s="12"/>
      <c r="R1" s="12"/>
    </row>
    <row r="2" spans="1:18">
      <c r="C2" s="13" t="s">
        <v>94</v>
      </c>
      <c r="D2" s="13" t="s">
        <v>94</v>
      </c>
      <c r="E2" s="13" t="s">
        <v>94</v>
      </c>
      <c r="F2" s="13" t="s">
        <v>95</v>
      </c>
      <c r="G2" s="13" t="s">
        <v>95</v>
      </c>
      <c r="H2" s="13" t="s">
        <v>95</v>
      </c>
      <c r="I2" s="13" t="s">
        <v>96</v>
      </c>
      <c r="J2" s="13" t="s">
        <v>33</v>
      </c>
      <c r="K2" s="13" t="str">
        <f>I2</f>
        <v>input~GASNGA</v>
      </c>
      <c r="L2" s="13" t="s">
        <v>33</v>
      </c>
      <c r="M2" s="13" t="str">
        <f>K2</f>
        <v>input~GASNGA</v>
      </c>
      <c r="N2" s="13" t="s">
        <v>33</v>
      </c>
      <c r="O2" s="14"/>
      <c r="P2" s="12"/>
      <c r="Q2" s="12"/>
      <c r="R2" s="12"/>
    </row>
    <row r="3" spans="1:18">
      <c r="C3" s="13">
        <v>2020</v>
      </c>
      <c r="D3" s="13">
        <v>2030</v>
      </c>
      <c r="E3" s="13">
        <v>2050</v>
      </c>
      <c r="F3" s="13">
        <f>C3</f>
        <v>2020</v>
      </c>
      <c r="G3" s="13">
        <f t="shared" ref="G3:H3" si="0">D3</f>
        <v>2030</v>
      </c>
      <c r="H3" s="13">
        <f t="shared" si="0"/>
        <v>2050</v>
      </c>
      <c r="I3" s="13">
        <v>2015</v>
      </c>
      <c r="J3" s="13">
        <v>2015</v>
      </c>
      <c r="K3" s="13">
        <v>2030</v>
      </c>
      <c r="L3" s="13">
        <v>2030</v>
      </c>
      <c r="M3" s="13">
        <v>2050</v>
      </c>
      <c r="N3" s="13">
        <v>2050</v>
      </c>
      <c r="O3" s="14"/>
      <c r="P3" s="12"/>
      <c r="Q3" s="12"/>
      <c r="R3" s="12"/>
    </row>
    <row r="4" spans="1:18" ht="26.25">
      <c r="C4" s="15">
        <v>2020</v>
      </c>
      <c r="D4" s="15">
        <v>2030</v>
      </c>
      <c r="E4" s="15" t="s">
        <v>97</v>
      </c>
      <c r="F4" s="16">
        <v>2015</v>
      </c>
      <c r="G4" s="15">
        <v>2030</v>
      </c>
      <c r="H4" s="17" t="s">
        <v>97</v>
      </c>
      <c r="I4" s="15" t="s">
        <v>98</v>
      </c>
      <c r="J4" s="15" t="s">
        <v>99</v>
      </c>
      <c r="K4" s="18" t="s">
        <v>100</v>
      </c>
      <c r="L4" s="19" t="s">
        <v>101</v>
      </c>
      <c r="M4" s="15" t="s">
        <v>102</v>
      </c>
      <c r="N4" s="15" t="s">
        <v>103</v>
      </c>
      <c r="O4" s="20"/>
      <c r="P4" s="12"/>
      <c r="Q4" s="12"/>
      <c r="R4" s="12"/>
    </row>
    <row r="5" spans="1:18">
      <c r="C5" s="21">
        <v>550</v>
      </c>
      <c r="D5" s="21">
        <v>500</v>
      </c>
      <c r="E5" s="21">
        <v>450</v>
      </c>
      <c r="F5" s="22">
        <v>22</v>
      </c>
      <c r="G5" s="23">
        <v>20</v>
      </c>
      <c r="H5" s="24">
        <v>18</v>
      </c>
      <c r="I5" s="25">
        <v>1.33</v>
      </c>
      <c r="J5" s="25">
        <v>9.4E-2</v>
      </c>
      <c r="K5" s="26">
        <v>1.3</v>
      </c>
      <c r="L5" s="27">
        <v>9.4E-2</v>
      </c>
      <c r="M5" s="25">
        <v>1.28</v>
      </c>
      <c r="N5" s="25">
        <v>9.4E-2</v>
      </c>
      <c r="O5" s="28" t="s">
        <v>104</v>
      </c>
      <c r="P5" s="29"/>
      <c r="Q5" s="29"/>
      <c r="R5" s="29"/>
    </row>
    <row r="6" spans="1:18">
      <c r="C6" s="30">
        <v>900</v>
      </c>
      <c r="D6" s="30">
        <v>850</v>
      </c>
      <c r="E6" s="30">
        <v>800</v>
      </c>
      <c r="F6" s="31">
        <v>36</v>
      </c>
      <c r="G6" s="32">
        <v>34</v>
      </c>
      <c r="H6" s="33">
        <v>32</v>
      </c>
      <c r="I6" s="34">
        <v>1.33</v>
      </c>
      <c r="J6" s="34">
        <v>1.0940000000000001</v>
      </c>
      <c r="K6" s="35">
        <v>1.3</v>
      </c>
      <c r="L6" s="36">
        <v>1.0940000000000001</v>
      </c>
      <c r="M6" s="34">
        <v>1.28</v>
      </c>
      <c r="N6" s="34">
        <v>1.0940000000000001</v>
      </c>
      <c r="O6" s="37" t="s">
        <v>105</v>
      </c>
      <c r="P6" s="38"/>
      <c r="Q6" s="38"/>
      <c r="R6" s="38"/>
    </row>
    <row r="7" spans="1:18">
      <c r="C7" s="21">
        <v>1978</v>
      </c>
      <c r="D7" s="21">
        <v>1598</v>
      </c>
      <c r="E7" s="21">
        <v>1450</v>
      </c>
      <c r="F7" s="22">
        <v>57</v>
      </c>
      <c r="G7" s="23">
        <v>31</v>
      </c>
      <c r="H7" s="24">
        <v>28</v>
      </c>
      <c r="I7" s="25">
        <v>1.53</v>
      </c>
      <c r="J7" s="25">
        <v>9.4E-2</v>
      </c>
      <c r="K7" s="26">
        <v>1.47</v>
      </c>
      <c r="L7" s="27">
        <v>9.4E-2</v>
      </c>
      <c r="M7" s="25">
        <v>1.43</v>
      </c>
      <c r="N7" s="25">
        <v>9.4E-2</v>
      </c>
      <c r="O7" s="28" t="s">
        <v>106</v>
      </c>
      <c r="P7" s="29"/>
      <c r="Q7" s="29"/>
      <c r="R7" s="29"/>
    </row>
    <row r="8" spans="1:18">
      <c r="C8" s="39">
        <v>1609.9999999999998</v>
      </c>
      <c r="D8" s="39">
        <v>740</v>
      </c>
      <c r="E8" s="39">
        <v>200</v>
      </c>
      <c r="F8" s="31">
        <v>49.000000000000007</v>
      </c>
      <c r="G8" s="32">
        <v>15</v>
      </c>
      <c r="H8" s="33">
        <v>10</v>
      </c>
      <c r="I8" s="34">
        <v>0</v>
      </c>
      <c r="J8" s="34">
        <v>1.39</v>
      </c>
      <c r="K8" s="35">
        <v>0</v>
      </c>
      <c r="L8" s="36">
        <v>1.19</v>
      </c>
      <c r="M8" s="34">
        <v>0</v>
      </c>
      <c r="N8" s="34">
        <v>1.17</v>
      </c>
      <c r="O8" s="37" t="s">
        <v>107</v>
      </c>
      <c r="P8" s="38"/>
      <c r="Q8" s="38"/>
      <c r="R8" s="38"/>
    </row>
    <row r="9" spans="1:18">
      <c r="C9" s="40">
        <v>2530</v>
      </c>
      <c r="D9" s="40">
        <v>1175</v>
      </c>
      <c r="E9" s="40">
        <v>350</v>
      </c>
      <c r="F9" s="22">
        <v>77.000000000000014</v>
      </c>
      <c r="G9" s="23">
        <v>34</v>
      </c>
      <c r="H9" s="24">
        <v>18</v>
      </c>
      <c r="I9" s="25">
        <v>0</v>
      </c>
      <c r="J9" s="25">
        <v>1.5</v>
      </c>
      <c r="K9" s="26">
        <v>0</v>
      </c>
      <c r="L9" s="27">
        <v>1.25</v>
      </c>
      <c r="M9" s="25">
        <v>0</v>
      </c>
      <c r="N9" s="25">
        <v>1.19</v>
      </c>
      <c r="O9" s="28" t="s">
        <v>108</v>
      </c>
      <c r="P9" s="29"/>
      <c r="Q9" s="29"/>
      <c r="R9" s="29"/>
    </row>
    <row r="10" spans="1:18">
      <c r="C10" s="39">
        <v>1265</v>
      </c>
      <c r="D10" s="39">
        <v>600</v>
      </c>
      <c r="E10" s="39">
        <v>180</v>
      </c>
      <c r="F10" s="31">
        <v>28</v>
      </c>
      <c r="G10" s="32">
        <v>14</v>
      </c>
      <c r="H10" s="33">
        <v>9</v>
      </c>
      <c r="I10" s="34">
        <v>0</v>
      </c>
      <c r="J10" s="34">
        <v>1.3952</v>
      </c>
      <c r="K10" s="35">
        <v>0</v>
      </c>
      <c r="L10" s="36">
        <v>1.268</v>
      </c>
      <c r="M10" s="34">
        <v>0</v>
      </c>
      <c r="N10" s="34">
        <v>1.18</v>
      </c>
      <c r="O10" s="37" t="s">
        <v>109</v>
      </c>
      <c r="P10" s="38"/>
      <c r="Q10" s="38"/>
      <c r="R10" s="38"/>
    </row>
    <row r="11" spans="1:18">
      <c r="C11" s="40">
        <v>1897.4999999999998</v>
      </c>
      <c r="D11" s="40">
        <v>715</v>
      </c>
      <c r="E11" s="40">
        <v>300</v>
      </c>
      <c r="F11" s="22">
        <v>41</v>
      </c>
      <c r="G11" s="23">
        <v>17</v>
      </c>
      <c r="H11" s="24">
        <v>15</v>
      </c>
      <c r="I11" s="25">
        <v>0</v>
      </c>
      <c r="J11" s="25">
        <v>1.3952</v>
      </c>
      <c r="K11" s="26">
        <v>0</v>
      </c>
      <c r="L11" s="27">
        <v>1.268</v>
      </c>
      <c r="M11" s="25">
        <v>0</v>
      </c>
      <c r="N11" s="25">
        <v>1.2</v>
      </c>
      <c r="O11" s="28" t="s">
        <v>110</v>
      </c>
      <c r="P11" s="29"/>
      <c r="Q11" s="29"/>
      <c r="R11" s="29"/>
    </row>
    <row r="12" spans="1:18">
      <c r="C12" s="39">
        <v>3332.088235294118</v>
      </c>
      <c r="D12" s="39">
        <v>1421.3921568627452</v>
      </c>
      <c r="E12" s="39">
        <v>600</v>
      </c>
      <c r="F12" s="31">
        <v>55.825000000000003</v>
      </c>
      <c r="G12" s="32">
        <v>36.18</v>
      </c>
      <c r="H12" s="33">
        <v>39</v>
      </c>
      <c r="I12" s="34">
        <v>1.996667038759689</v>
      </c>
      <c r="J12" s="34">
        <v>0.83711999999999998</v>
      </c>
      <c r="K12" s="35">
        <v>1.4556272790939169</v>
      </c>
      <c r="L12" s="36">
        <v>0.76080000000000003</v>
      </c>
      <c r="M12" s="34">
        <v>0.33333333333333337</v>
      </c>
      <c r="N12" s="34">
        <v>0.70799999999999996</v>
      </c>
      <c r="O12" s="37" t="s">
        <v>111</v>
      </c>
      <c r="P12" s="38"/>
      <c r="Q12" s="38"/>
      <c r="R12" s="38"/>
    </row>
    <row r="13" spans="1:18">
      <c r="C13" s="40">
        <v>5331.3411764705888</v>
      </c>
      <c r="D13" s="40">
        <v>2920.8941176470589</v>
      </c>
      <c r="E13" s="40">
        <v>1100</v>
      </c>
      <c r="F13" s="22">
        <v>94.902500000000003</v>
      </c>
      <c r="G13" s="23">
        <v>63.314999999999998</v>
      </c>
      <c r="H13" s="24">
        <v>48.75</v>
      </c>
      <c r="I13" s="25">
        <v>1.996667038759689</v>
      </c>
      <c r="J13" s="25">
        <v>0.83711999999999998</v>
      </c>
      <c r="K13" s="26">
        <v>1.4556272790939169</v>
      </c>
      <c r="L13" s="27">
        <v>0.76080000000000003</v>
      </c>
      <c r="M13" s="25">
        <v>0.33333333333333337</v>
      </c>
      <c r="N13" s="25">
        <v>0.72</v>
      </c>
      <c r="O13" s="28" t="s">
        <v>112</v>
      </c>
      <c r="P13" s="29"/>
      <c r="Q13" s="29"/>
      <c r="R13" s="29"/>
    </row>
    <row r="14" spans="1:18">
      <c r="C14" s="41">
        <v>1200</v>
      </c>
      <c r="D14" s="41">
        <v>733</v>
      </c>
      <c r="E14" s="41">
        <v>263</v>
      </c>
      <c r="F14" s="42">
        <v>42</v>
      </c>
      <c r="G14" s="43">
        <v>22</v>
      </c>
      <c r="H14" s="44">
        <v>9</v>
      </c>
      <c r="I14" s="45">
        <v>0</v>
      </c>
      <c r="J14" s="46">
        <v>0.01</v>
      </c>
      <c r="K14" s="47">
        <v>0</v>
      </c>
      <c r="L14" s="48">
        <v>0.01</v>
      </c>
      <c r="M14" s="46">
        <v>0</v>
      </c>
      <c r="N14" s="46">
        <v>0.01</v>
      </c>
      <c r="O14" s="49" t="s">
        <v>113</v>
      </c>
      <c r="P14" s="50"/>
      <c r="Q14" s="50"/>
      <c r="R14" s="50"/>
    </row>
    <row r="15" spans="1:18">
      <c r="C15" s="51">
        <v>450</v>
      </c>
      <c r="D15" s="51">
        <v>450</v>
      </c>
      <c r="E15" s="51">
        <v>450</v>
      </c>
      <c r="F15" s="52">
        <v>18</v>
      </c>
      <c r="G15" s="53">
        <v>18</v>
      </c>
      <c r="H15" s="54">
        <v>18</v>
      </c>
      <c r="I15" s="55">
        <v>0.26582278481012644</v>
      </c>
      <c r="J15" s="56">
        <v>0.06</v>
      </c>
      <c r="K15" s="57">
        <v>0.26582278481012644</v>
      </c>
      <c r="L15" s="58">
        <v>0.06</v>
      </c>
      <c r="M15" s="56">
        <v>0.26582278481012644</v>
      </c>
      <c r="N15" s="56">
        <v>0.06</v>
      </c>
      <c r="O15" s="59" t="s">
        <v>114</v>
      </c>
      <c r="P15" s="60"/>
      <c r="Q15" s="60"/>
      <c r="R15" s="60"/>
    </row>
    <row r="16" spans="1:18">
      <c r="C16" s="61">
        <v>200</v>
      </c>
      <c r="D16" s="61">
        <v>200</v>
      </c>
      <c r="E16" s="61">
        <v>200</v>
      </c>
      <c r="F16" s="62">
        <v>20</v>
      </c>
      <c r="G16" s="63">
        <v>20</v>
      </c>
      <c r="H16" s="64">
        <v>20</v>
      </c>
      <c r="I16" s="65">
        <v>1.2999999999999999E-2</v>
      </c>
      <c r="J16" s="66">
        <v>3.5999999999999997E-2</v>
      </c>
      <c r="K16" s="67">
        <v>1.2999999999999999E-2</v>
      </c>
      <c r="L16" s="68">
        <v>3.5999999999999997E-2</v>
      </c>
      <c r="M16" s="66">
        <v>1.2999999999999999E-2</v>
      </c>
      <c r="N16" s="66">
        <v>3.5999999999999997E-2</v>
      </c>
      <c r="O16" s="69" t="s">
        <v>115</v>
      </c>
      <c r="P16" s="70"/>
      <c r="Q16" s="70"/>
      <c r="R16" s="70"/>
    </row>
    <row r="17" spans="1:26">
      <c r="C17" s="51">
        <v>175</v>
      </c>
      <c r="D17" s="51">
        <v>175</v>
      </c>
      <c r="E17" s="51">
        <v>175</v>
      </c>
      <c r="F17" s="52">
        <v>5</v>
      </c>
      <c r="G17" s="53">
        <v>5</v>
      </c>
      <c r="H17" s="54">
        <v>5</v>
      </c>
      <c r="I17" s="55">
        <v>1.4E-2</v>
      </c>
      <c r="J17" s="56">
        <v>0</v>
      </c>
      <c r="K17" s="57">
        <v>1.4E-2</v>
      </c>
      <c r="L17" s="58">
        <v>0</v>
      </c>
      <c r="M17" s="56">
        <v>1.4E-2</v>
      </c>
      <c r="N17" s="56">
        <v>0</v>
      </c>
      <c r="O17" s="59" t="s">
        <v>116</v>
      </c>
      <c r="P17" s="60"/>
      <c r="Q17" s="60"/>
      <c r="R17" s="60"/>
    </row>
    <row r="18" spans="1:26">
      <c r="C18" s="71">
        <v>1000</v>
      </c>
      <c r="D18" s="71">
        <v>720</v>
      </c>
      <c r="E18" s="71">
        <v>364</v>
      </c>
      <c r="F18" s="72">
        <v>50</v>
      </c>
      <c r="G18" s="73">
        <v>31</v>
      </c>
      <c r="H18" s="74">
        <v>18</v>
      </c>
      <c r="I18" s="75">
        <v>0.2389</v>
      </c>
      <c r="J18" s="76">
        <v>3.056E-2</v>
      </c>
      <c r="K18" s="77">
        <v>0.2389</v>
      </c>
      <c r="L18" s="78">
        <v>3.056E-2</v>
      </c>
      <c r="M18" s="76">
        <v>0.2389</v>
      </c>
      <c r="N18" s="76">
        <v>3.056E-2</v>
      </c>
      <c r="O18" s="79" t="s">
        <v>117</v>
      </c>
      <c r="P18" s="80"/>
      <c r="Q18" s="80"/>
      <c r="R18" s="80"/>
    </row>
    <row r="19" spans="1:26">
      <c r="C19" s="81">
        <v>1556</v>
      </c>
      <c r="D19" s="81">
        <v>1143</v>
      </c>
      <c r="E19" s="82">
        <v>673</v>
      </c>
      <c r="F19" s="83">
        <v>54</v>
      </c>
      <c r="G19" s="84">
        <v>40</v>
      </c>
      <c r="H19" s="85">
        <v>24</v>
      </c>
      <c r="I19" s="86">
        <v>3.5000000000000003E-2</v>
      </c>
      <c r="J19" s="87">
        <v>0.02</v>
      </c>
      <c r="K19" s="88">
        <v>3.5000000000000003E-2</v>
      </c>
      <c r="L19" s="89">
        <v>0.02</v>
      </c>
      <c r="M19" s="87">
        <v>3.5000000000000003E-2</v>
      </c>
      <c r="N19" s="87">
        <v>0.02</v>
      </c>
      <c r="O19" s="90" t="s">
        <v>118</v>
      </c>
      <c r="P19" s="91"/>
      <c r="Q19" s="91"/>
      <c r="R19" s="91"/>
    </row>
    <row r="20" spans="1:26">
      <c r="C20" s="92">
        <v>2332</v>
      </c>
      <c r="D20" s="92">
        <v>1511</v>
      </c>
      <c r="E20" s="92">
        <v>965</v>
      </c>
      <c r="F20" s="93">
        <v>163</v>
      </c>
      <c r="G20" s="94">
        <v>106</v>
      </c>
      <c r="H20" s="95">
        <v>68</v>
      </c>
      <c r="I20" s="96">
        <v>0.46326666666666666</v>
      </c>
      <c r="J20" s="97">
        <v>1.9188104089219331</v>
      </c>
      <c r="K20" s="98">
        <v>0.39244195142277988</v>
      </c>
      <c r="L20" s="99">
        <v>1.6009812088633062</v>
      </c>
      <c r="M20" s="97">
        <v>0.37890902062421039</v>
      </c>
      <c r="N20" s="97">
        <v>1.5694083453910281</v>
      </c>
      <c r="O20" s="100" t="s">
        <v>119</v>
      </c>
      <c r="P20" s="80"/>
      <c r="Q20" s="80"/>
      <c r="R20" s="80"/>
    </row>
    <row r="21" spans="1:26">
      <c r="C21" s="101">
        <v>769.8768197088466</v>
      </c>
      <c r="D21" s="101">
        <v>648.04446103438272</v>
      </c>
      <c r="E21" s="101">
        <v>518.29059243801294</v>
      </c>
      <c r="F21" s="102">
        <v>26.945688689809632</v>
      </c>
      <c r="G21" s="103">
        <v>22.681556136203398</v>
      </c>
      <c r="H21" s="104">
        <v>18.140170735330454</v>
      </c>
      <c r="I21" s="105">
        <v>2.7777777777777777</v>
      </c>
      <c r="J21" s="106">
        <v>2.2222222222222223</v>
      </c>
      <c r="K21" s="107">
        <v>1.6666666666666665</v>
      </c>
      <c r="L21" s="108">
        <v>1.3888888888888888</v>
      </c>
      <c r="M21" s="106">
        <v>1.1388888888888888</v>
      </c>
      <c r="N21" s="106">
        <v>0.3</v>
      </c>
      <c r="O21" s="109" t="s">
        <v>120</v>
      </c>
      <c r="P21" s="110"/>
      <c r="Q21" s="110"/>
      <c r="R21" s="110"/>
    </row>
    <row r="22" spans="1:26">
      <c r="C22" s="111">
        <v>1259.7984322508398</v>
      </c>
      <c r="D22" s="111">
        <v>894.30135622744808</v>
      </c>
      <c r="E22" s="111">
        <v>495</v>
      </c>
      <c r="F22" s="112">
        <v>44.092945128779398</v>
      </c>
      <c r="G22" s="113">
        <v>31.300547467960687</v>
      </c>
      <c r="H22" s="114">
        <v>17.325000000000003</v>
      </c>
      <c r="I22" s="115">
        <v>2</v>
      </c>
      <c r="J22" s="116">
        <v>0.3</v>
      </c>
      <c r="K22" s="117">
        <v>1.8055555555555556</v>
      </c>
      <c r="L22" s="118">
        <v>0.3</v>
      </c>
      <c r="M22" s="116">
        <v>1.5</v>
      </c>
      <c r="N22" s="116">
        <v>0.3</v>
      </c>
      <c r="O22" s="119" t="s">
        <v>121</v>
      </c>
      <c r="P22" s="120"/>
      <c r="Q22" s="120"/>
      <c r="R22" s="120"/>
    </row>
    <row r="23" spans="1:26">
      <c r="C23" s="121">
        <v>174</v>
      </c>
      <c r="D23" s="121">
        <v>174</v>
      </c>
      <c r="E23" s="121">
        <v>174</v>
      </c>
      <c r="F23" s="122">
        <v>3</v>
      </c>
      <c r="G23" s="123">
        <v>3</v>
      </c>
      <c r="H23" s="124">
        <v>3</v>
      </c>
      <c r="I23" s="125">
        <v>0</v>
      </c>
      <c r="J23" s="126">
        <v>0.20588235294117646</v>
      </c>
      <c r="K23" s="127">
        <v>0</v>
      </c>
      <c r="L23" s="128">
        <v>0.20588235294117646</v>
      </c>
      <c r="M23" s="126">
        <v>0</v>
      </c>
      <c r="N23" s="126">
        <v>0.20588235294117646</v>
      </c>
      <c r="O23" s="129" t="s">
        <v>122</v>
      </c>
      <c r="P23" s="110"/>
      <c r="Q23" s="110"/>
      <c r="R23" s="110"/>
    </row>
    <row r="26" spans="1:26" ht="17.649999999999999" thickBot="1">
      <c r="C26" s="130" t="s">
        <v>123</v>
      </c>
      <c r="T26" s="130" t="s">
        <v>124</v>
      </c>
    </row>
    <row r="27" spans="1:26" ht="14.65" thickTop="1">
      <c r="A27" s="131" t="s">
        <v>125</v>
      </c>
      <c r="B27" s="131" t="s">
        <v>126</v>
      </c>
      <c r="C27" s="131" t="str">
        <f>C2&amp;"~"&amp;C3</f>
        <v>invcost~2020</v>
      </c>
      <c r="D27" s="131" t="str">
        <f t="shared" ref="D27:N27" si="1">D2&amp;"~"&amp;D3</f>
        <v>invcost~2030</v>
      </c>
      <c r="E27" s="131" t="str">
        <f t="shared" si="1"/>
        <v>invcost~2050</v>
      </c>
      <c r="F27" s="131" t="str">
        <f t="shared" si="1"/>
        <v>fixom~2020</v>
      </c>
      <c r="G27" s="131" t="str">
        <f t="shared" si="1"/>
        <v>fixom~2030</v>
      </c>
      <c r="H27" s="131" t="str">
        <f t="shared" si="1"/>
        <v>fixom~2050</v>
      </c>
      <c r="I27" s="131" t="str">
        <f t="shared" si="1"/>
        <v>input~GASNGA~2015</v>
      </c>
      <c r="J27" s="131" t="s">
        <v>33</v>
      </c>
      <c r="K27" s="131" t="str">
        <f t="shared" si="1"/>
        <v>input~GASNGA~2030</v>
      </c>
      <c r="L27" s="131" t="str">
        <f t="shared" si="1"/>
        <v>efficiency~2030</v>
      </c>
      <c r="M27" s="131" t="str">
        <f t="shared" si="1"/>
        <v>input~GASNGA~2050</v>
      </c>
      <c r="N27" s="131" t="str">
        <f t="shared" si="1"/>
        <v>efficiency~2050</v>
      </c>
      <c r="O27" s="131" t="s">
        <v>127</v>
      </c>
      <c r="P27" s="131" t="s">
        <v>128</v>
      </c>
      <c r="Q27" s="131" t="s">
        <v>129</v>
      </c>
      <c r="T27" s="131" t="s">
        <v>130</v>
      </c>
      <c r="U27" s="131" t="s">
        <v>127</v>
      </c>
      <c r="V27" s="131" t="s">
        <v>131</v>
      </c>
      <c r="W27" s="131" t="s">
        <v>132</v>
      </c>
      <c r="X27" s="131" t="s">
        <v>133</v>
      </c>
      <c r="Y27" s="131" t="s">
        <v>134</v>
      </c>
      <c r="Z27" s="131" t="s">
        <v>135</v>
      </c>
    </row>
    <row r="28" spans="1:26">
      <c r="A28" t="s">
        <v>136</v>
      </c>
      <c r="B28" t="s">
        <v>137</v>
      </c>
      <c r="C28" s="132">
        <f>C8</f>
        <v>1609.9999999999998</v>
      </c>
      <c r="D28" s="132">
        <f>D8</f>
        <v>740</v>
      </c>
      <c r="E28" s="133">
        <v>450</v>
      </c>
      <c r="F28" s="132">
        <f>F8</f>
        <v>49.000000000000007</v>
      </c>
      <c r="G28" s="132">
        <f>G8</f>
        <v>15</v>
      </c>
      <c r="H28" s="132">
        <f>H8</f>
        <v>10</v>
      </c>
      <c r="I28" s="134"/>
      <c r="J28" s="134">
        <f>1/J8</f>
        <v>0.71942446043165476</v>
      </c>
      <c r="K28" s="134"/>
      <c r="L28" s="134">
        <f>1/L8</f>
        <v>0.84033613445378152</v>
      </c>
      <c r="M28" s="134"/>
      <c r="N28" s="134">
        <f>1/N8</f>
        <v>0.85470085470085477</v>
      </c>
      <c r="O28" t="s">
        <v>138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22</v>
      </c>
      <c r="X28" t="s">
        <v>23</v>
      </c>
      <c r="Y28" t="s">
        <v>83</v>
      </c>
      <c r="Z28" t="s">
        <v>139</v>
      </c>
    </row>
    <row r="29" spans="1:26">
      <c r="A29" t="s">
        <v>136</v>
      </c>
      <c r="B29" t="s">
        <v>137</v>
      </c>
      <c r="C29" s="132">
        <f>C10</f>
        <v>1265</v>
      </c>
      <c r="D29" s="132">
        <f>D10</f>
        <v>600</v>
      </c>
      <c r="E29" s="133">
        <v>350</v>
      </c>
      <c r="F29" s="132">
        <f>F10</f>
        <v>28</v>
      </c>
      <c r="G29" s="132">
        <f>G10</f>
        <v>14</v>
      </c>
      <c r="H29" s="132">
        <f>H10</f>
        <v>9</v>
      </c>
      <c r="I29" s="134"/>
      <c r="J29" s="134">
        <f>1/J10</f>
        <v>0.71674311926605505</v>
      </c>
      <c r="K29" s="134"/>
      <c r="L29" s="134">
        <f>1/L10</f>
        <v>0.78864353312302837</v>
      </c>
      <c r="M29" s="134"/>
      <c r="N29" s="134">
        <f>1/N10</f>
        <v>0.84745762711864414</v>
      </c>
      <c r="O29" t="s">
        <v>140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22</v>
      </c>
      <c r="X29" t="s">
        <v>23</v>
      </c>
      <c r="Y29" t="s">
        <v>83</v>
      </c>
      <c r="Z29" t="s">
        <v>139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3331-EE40-4313-9505-F949B0F83216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135"/>
      <c r="C3" s="135"/>
      <c r="D3" s="135"/>
      <c r="E3" s="135"/>
      <c r="F3" s="135"/>
      <c r="G3" s="135"/>
      <c r="H3" s="135" t="s">
        <v>141</v>
      </c>
      <c r="I3" s="135"/>
      <c r="J3" s="135"/>
      <c r="K3" s="135"/>
      <c r="L3" s="135"/>
      <c r="M3" s="135"/>
      <c r="N3" s="135"/>
      <c r="O3" s="135"/>
      <c r="P3" s="135"/>
      <c r="Q3" s="135"/>
      <c r="R3" s="135" t="s">
        <v>124</v>
      </c>
      <c r="S3" s="135"/>
      <c r="T3" s="135"/>
      <c r="U3" s="135"/>
      <c r="V3" s="135"/>
      <c r="W3" s="135"/>
      <c r="X3" s="135"/>
      <c r="Y3" s="135"/>
    </row>
    <row r="4" spans="2:25">
      <c r="B4" s="135" t="s">
        <v>127</v>
      </c>
      <c r="C4" t="s">
        <v>126</v>
      </c>
      <c r="D4" t="s">
        <v>125</v>
      </c>
      <c r="E4" t="s">
        <v>142</v>
      </c>
      <c r="F4" t="s">
        <v>143</v>
      </c>
      <c r="G4" t="s">
        <v>144</v>
      </c>
      <c r="H4" t="s">
        <v>145</v>
      </c>
      <c r="I4">
        <v>2030</v>
      </c>
      <c r="J4">
        <v>0</v>
      </c>
      <c r="K4" s="135" t="s">
        <v>146</v>
      </c>
      <c r="L4" s="135" t="s">
        <v>147</v>
      </c>
      <c r="M4" s="135" t="s">
        <v>128</v>
      </c>
      <c r="N4" s="135" t="s">
        <v>94</v>
      </c>
      <c r="O4" s="135" t="s">
        <v>148</v>
      </c>
      <c r="P4" s="135" t="s">
        <v>149</v>
      </c>
      <c r="Q4" s="135"/>
      <c r="R4" s="135" t="s">
        <v>130</v>
      </c>
      <c r="S4" s="135" t="s">
        <v>127</v>
      </c>
      <c r="T4" s="135" t="s">
        <v>131</v>
      </c>
      <c r="U4" s="135" t="s">
        <v>133</v>
      </c>
      <c r="V4" s="135" t="s">
        <v>132</v>
      </c>
      <c r="W4" s="135" t="s">
        <v>134</v>
      </c>
      <c r="X4" s="135" t="s">
        <v>150</v>
      </c>
      <c r="Y4" s="135" t="s">
        <v>135</v>
      </c>
    </row>
    <row r="5" spans="2:25">
      <c r="B5" t="s">
        <v>151</v>
      </c>
      <c r="C5" t="s">
        <v>18</v>
      </c>
      <c r="F5" t="s">
        <v>84</v>
      </c>
      <c r="K5" s="135">
        <v>0.90249999999999997</v>
      </c>
      <c r="L5" s="136">
        <f>24/6</f>
        <v>4</v>
      </c>
      <c r="M5" s="135">
        <v>10</v>
      </c>
      <c r="N5" s="135">
        <v>150</v>
      </c>
      <c r="O5" s="136">
        <v>1</v>
      </c>
      <c r="P5" s="135">
        <v>1</v>
      </c>
      <c r="Q5" s="135"/>
      <c r="R5" s="135" t="s">
        <v>65</v>
      </c>
      <c r="S5" s="135" t="str">
        <f>B5</f>
        <v>ev_battery</v>
      </c>
      <c r="T5" s="135" t="s">
        <v>152</v>
      </c>
      <c r="U5" s="135" t="s">
        <v>23</v>
      </c>
      <c r="V5" s="135" t="s">
        <v>23</v>
      </c>
      <c r="W5" s="135" t="s">
        <v>83</v>
      </c>
      <c r="X5" s="135"/>
      <c r="Y5" s="135"/>
    </row>
    <row r="6" spans="2:25">
      <c r="B6" s="135"/>
      <c r="F6" t="s">
        <v>82</v>
      </c>
      <c r="K6" s="135"/>
      <c r="L6" s="137">
        <v>1</v>
      </c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pans="2:25">
      <c r="B7" s="135"/>
      <c r="D7" t="s">
        <v>153</v>
      </c>
      <c r="E7" t="s">
        <v>154</v>
      </c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pans="2:25" ht="17.649999999999999">
      <c r="B8" s="138"/>
      <c r="E8" s="139"/>
      <c r="F8" t="s">
        <v>155</v>
      </c>
      <c r="G8" t="str">
        <f>E7</f>
        <v>AuxStoIN</v>
      </c>
      <c r="H8" t="s">
        <v>156</v>
      </c>
      <c r="I8">
        <v>1</v>
      </c>
      <c r="J8">
        <v>3</v>
      </c>
      <c r="K8" s="140"/>
      <c r="L8" s="140"/>
      <c r="M8" s="140"/>
      <c r="N8" s="140"/>
      <c r="O8" s="140"/>
      <c r="P8" s="140"/>
      <c r="Q8" s="138"/>
      <c r="R8" s="138"/>
      <c r="S8" s="138"/>
      <c r="T8" s="138"/>
      <c r="U8" s="138"/>
      <c r="V8" s="138"/>
      <c r="W8" s="141"/>
      <c r="X8" s="141"/>
      <c r="Y8" s="141"/>
    </row>
    <row r="11" spans="2:25">
      <c r="B11" s="142" t="s">
        <v>157</v>
      </c>
      <c r="C11" s="142"/>
      <c r="D11" s="142"/>
      <c r="E11" s="142"/>
      <c r="F11" s="142"/>
      <c r="G11" s="142"/>
      <c r="H11" s="142"/>
      <c r="I11" s="142"/>
    </row>
    <row r="12" spans="2:25">
      <c r="B12" s="142" t="s">
        <v>158</v>
      </c>
      <c r="C12" s="142" t="s">
        <v>159</v>
      </c>
      <c r="D12" s="142" t="s">
        <v>160</v>
      </c>
      <c r="E12" s="142" t="s">
        <v>161</v>
      </c>
      <c r="F12" s="142" t="s">
        <v>162</v>
      </c>
      <c r="G12" s="142" t="s">
        <v>163</v>
      </c>
      <c r="H12" s="142" t="s">
        <v>164</v>
      </c>
      <c r="I12" s="142" t="s">
        <v>165</v>
      </c>
    </row>
    <row r="13" spans="2:25">
      <c r="B13" s="142" t="s">
        <v>166</v>
      </c>
      <c r="C13" s="142" t="s">
        <v>154</v>
      </c>
      <c r="D13" s="142" t="s">
        <v>167</v>
      </c>
      <c r="E13" s="142" t="s">
        <v>168</v>
      </c>
      <c r="F13" s="142"/>
      <c r="G13" s="143" t="s">
        <v>83</v>
      </c>
      <c r="H13" s="142"/>
      <c r="I13" s="142"/>
    </row>
    <row r="14" spans="2:25">
      <c r="C14" s="142" t="s">
        <v>169</v>
      </c>
      <c r="D14" s="142" t="s">
        <v>170</v>
      </c>
      <c r="E14" s="142" t="s">
        <v>168</v>
      </c>
      <c r="F14" s="142"/>
      <c r="G14" s="14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80BA-1357-47EA-8F4D-9C05C850A514}">
  <dimension ref="B11:V29"/>
  <sheetViews>
    <sheetView tabSelected="1"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649999999999999" thickBot="1">
      <c r="B11" s="130" t="s">
        <v>124</v>
      </c>
      <c r="L11" s="130" t="s">
        <v>171</v>
      </c>
      <c r="N11" s="144"/>
      <c r="O11" s="144"/>
      <c r="P11" s="144"/>
      <c r="Q11" s="144"/>
    </row>
    <row r="12" spans="2:22" ht="15" thickTop="1" thickBot="1">
      <c r="B12" s="145" t="s">
        <v>130</v>
      </c>
      <c r="C12" s="145" t="s">
        <v>127</v>
      </c>
      <c r="D12" s="145" t="s">
        <v>131</v>
      </c>
      <c r="E12" s="145" t="s">
        <v>172</v>
      </c>
      <c r="F12" s="145" t="s">
        <v>173</v>
      </c>
      <c r="G12" s="145" t="s">
        <v>134</v>
      </c>
      <c r="J12" s="145" t="s">
        <v>174</v>
      </c>
      <c r="K12" s="145" t="s">
        <v>126</v>
      </c>
      <c r="L12" s="145" t="s">
        <v>125</v>
      </c>
      <c r="M12" s="145" t="s">
        <v>175</v>
      </c>
      <c r="N12" s="145" t="s">
        <v>176</v>
      </c>
      <c r="O12" s="145" t="s">
        <v>177</v>
      </c>
      <c r="P12" s="145">
        <v>2022</v>
      </c>
      <c r="Q12" s="145">
        <v>0</v>
      </c>
      <c r="R12" s="145" t="s">
        <v>94</v>
      </c>
      <c r="S12" s="145" t="s">
        <v>178</v>
      </c>
    </row>
    <row r="13" spans="2:22">
      <c r="B13" s="144" t="s">
        <v>179</v>
      </c>
      <c r="C13" s="144" t="s">
        <v>180</v>
      </c>
      <c r="E13" s="144" t="s">
        <v>23</v>
      </c>
      <c r="F13" t="s">
        <v>22</v>
      </c>
      <c r="G13" t="s">
        <v>83</v>
      </c>
      <c r="J13" s="144" t="str">
        <f>C13</f>
        <v>ElcAgg_Solar</v>
      </c>
      <c r="L13" s="144" t="s">
        <v>137</v>
      </c>
      <c r="M13" s="144">
        <v>1</v>
      </c>
      <c r="N13" s="144">
        <v>8.76</v>
      </c>
      <c r="O13" s="144"/>
      <c r="P13" s="144"/>
      <c r="Q13" s="144"/>
    </row>
    <row r="14" spans="2:22">
      <c r="B14" s="144" t="s">
        <v>179</v>
      </c>
      <c r="C14" s="144" t="s">
        <v>181</v>
      </c>
      <c r="E14" s="144" t="s">
        <v>23</v>
      </c>
      <c r="F14" t="s">
        <v>22</v>
      </c>
      <c r="G14" t="s">
        <v>83</v>
      </c>
      <c r="H14" s="144"/>
      <c r="I14" s="144"/>
      <c r="J14" s="144" t="str">
        <f>C14</f>
        <v>ElcAgg_Wind</v>
      </c>
      <c r="L14" s="144" t="s">
        <v>137</v>
      </c>
      <c r="M14" s="144">
        <v>1</v>
      </c>
      <c r="N14" s="144">
        <v>8.76</v>
      </c>
      <c r="O14" s="144"/>
      <c r="P14" s="144"/>
      <c r="Q14" s="144"/>
    </row>
    <row r="15" spans="2:22">
      <c r="B15" t="s">
        <v>182</v>
      </c>
      <c r="C15" t="s">
        <v>183</v>
      </c>
      <c r="D15" s="144" t="s">
        <v>184</v>
      </c>
      <c r="E15" s="144" t="s">
        <v>23</v>
      </c>
      <c r="F15" t="s">
        <v>22</v>
      </c>
      <c r="G15" s="144"/>
      <c r="H15" s="144"/>
      <c r="I15" s="144"/>
      <c r="J15" s="144" t="str">
        <f>C15</f>
        <v>e_demand</v>
      </c>
      <c r="K15" s="144"/>
      <c r="L15" t="s">
        <v>185</v>
      </c>
      <c r="M15" s="144">
        <v>1</v>
      </c>
      <c r="N15" s="144">
        <v>8.76</v>
      </c>
      <c r="O15" s="144"/>
      <c r="P15" s="144"/>
      <c r="Q15" s="144"/>
      <c r="V15" t="s">
        <v>186</v>
      </c>
    </row>
    <row r="16" spans="2:22">
      <c r="B16" t="s">
        <v>182</v>
      </c>
      <c r="C16" t="s">
        <v>187</v>
      </c>
      <c r="D16" s="144" t="s">
        <v>188</v>
      </c>
      <c r="E16" s="144" t="s">
        <v>23</v>
      </c>
      <c r="F16" t="s">
        <v>22</v>
      </c>
      <c r="G16" s="144"/>
      <c r="H16" s="144"/>
      <c r="I16" s="144"/>
      <c r="J16" s="144" t="str">
        <f>C16</f>
        <v>h2_demand</v>
      </c>
      <c r="K16" s="144" t="s">
        <v>136</v>
      </c>
      <c r="L16" t="s">
        <v>189</v>
      </c>
      <c r="M16" s="144">
        <v>1</v>
      </c>
      <c r="N16" s="144">
        <v>8.76</v>
      </c>
      <c r="O16" s="144"/>
      <c r="P16" s="144"/>
      <c r="Q16" s="144"/>
    </row>
    <row r="17" spans="2:22">
      <c r="B17" t="s">
        <v>182</v>
      </c>
      <c r="C17" t="s">
        <v>190</v>
      </c>
      <c r="D17" t="s">
        <v>191</v>
      </c>
      <c r="E17" s="144" t="s">
        <v>23</v>
      </c>
      <c r="F17" t="s">
        <v>22</v>
      </c>
      <c r="G17" s="144"/>
      <c r="H17" s="144"/>
      <c r="I17" s="144"/>
      <c r="J17" t="str">
        <f>C17</f>
        <v>h_demand</v>
      </c>
      <c r="K17" s="144"/>
      <c r="L17" t="s">
        <v>192</v>
      </c>
      <c r="M17" s="144">
        <v>1</v>
      </c>
      <c r="N17" s="144">
        <v>8.76</v>
      </c>
      <c r="O17" s="144"/>
      <c r="P17" s="144"/>
      <c r="Q17" s="144"/>
    </row>
    <row r="18" spans="2:22">
      <c r="B18" t="s">
        <v>193</v>
      </c>
      <c r="C18" t="s">
        <v>194</v>
      </c>
      <c r="D18" s="144"/>
      <c r="E18" s="144" t="s">
        <v>23</v>
      </c>
      <c r="F18" t="s">
        <v>22</v>
      </c>
      <c r="G18" t="s">
        <v>83</v>
      </c>
      <c r="H18" s="144"/>
      <c r="I18" s="144"/>
      <c r="J18" s="144" t="str">
        <f>C20</f>
        <v>fossil_supply</v>
      </c>
      <c r="K18" s="144"/>
      <c r="L18" s="144" t="s">
        <v>76</v>
      </c>
      <c r="M18" s="144"/>
      <c r="N18" s="144"/>
      <c r="O18" s="144">
        <f t="shared" ref="O18:O22" si="0">V18*3.6</f>
        <v>7.2</v>
      </c>
      <c r="P18" s="144"/>
      <c r="V18" s="144">
        <v>2</v>
      </c>
    </row>
    <row r="19" spans="2:22">
      <c r="B19" t="s">
        <v>195</v>
      </c>
      <c r="C19" t="s">
        <v>196</v>
      </c>
      <c r="D19" s="144"/>
      <c r="E19" s="144" t="s">
        <v>23</v>
      </c>
      <c r="F19" t="s">
        <v>22</v>
      </c>
      <c r="G19" t="s">
        <v>83</v>
      </c>
      <c r="H19" s="144"/>
      <c r="I19" s="144"/>
      <c r="K19" s="144"/>
      <c r="L19" s="144" t="s">
        <v>17</v>
      </c>
      <c r="M19" s="144"/>
      <c r="N19" s="144"/>
      <c r="O19" s="144">
        <f t="shared" si="0"/>
        <v>18</v>
      </c>
      <c r="P19" s="144"/>
      <c r="V19" s="144">
        <v>5</v>
      </c>
    </row>
    <row r="20" spans="2:22">
      <c r="B20" s="144" t="s">
        <v>193</v>
      </c>
      <c r="C20" s="144" t="s">
        <v>197</v>
      </c>
      <c r="D20" s="144" t="s">
        <v>198</v>
      </c>
      <c r="E20" s="144" t="s">
        <v>23</v>
      </c>
      <c r="F20" t="s">
        <v>22</v>
      </c>
      <c r="G20" s="144"/>
      <c r="H20" s="144"/>
      <c r="I20" s="144"/>
      <c r="K20" s="144"/>
      <c r="L20" s="144" t="s">
        <v>199</v>
      </c>
      <c r="M20" s="144"/>
      <c r="N20" s="144"/>
      <c r="O20" s="144">
        <f>V20*3.6</f>
        <v>36</v>
      </c>
      <c r="P20" s="144"/>
      <c r="V20">
        <v>10</v>
      </c>
    </row>
    <row r="21" spans="2:22">
      <c r="B21" s="144" t="s">
        <v>193</v>
      </c>
      <c r="C21" s="144" t="s">
        <v>200</v>
      </c>
      <c r="D21" s="144" t="s">
        <v>201</v>
      </c>
      <c r="E21" s="144" t="s">
        <v>23</v>
      </c>
      <c r="F21" t="s">
        <v>22</v>
      </c>
      <c r="G21" s="144"/>
      <c r="H21" s="144"/>
      <c r="I21" s="144"/>
      <c r="J21" s="144" t="str">
        <f>C21</f>
        <v>renewable</v>
      </c>
      <c r="K21" s="144"/>
      <c r="L21" s="144" t="s">
        <v>202</v>
      </c>
      <c r="M21" s="144"/>
      <c r="N21" s="144"/>
      <c r="O21" s="144">
        <f t="shared" si="0"/>
        <v>0.36000000000000004</v>
      </c>
      <c r="P21" s="144"/>
      <c r="V21">
        <v>0.1</v>
      </c>
    </row>
    <row r="22" spans="2:22">
      <c r="B22" s="144" t="s">
        <v>193</v>
      </c>
      <c r="C22" s="144" t="s">
        <v>203</v>
      </c>
      <c r="D22" s="144" t="s">
        <v>204</v>
      </c>
      <c r="E22" s="144" t="s">
        <v>23</v>
      </c>
      <c r="F22" t="s">
        <v>22</v>
      </c>
      <c r="G22" s="144"/>
      <c r="H22" s="144"/>
      <c r="I22" s="144"/>
      <c r="K22" s="144"/>
      <c r="L22" s="144" t="s">
        <v>205</v>
      </c>
      <c r="M22" s="144"/>
      <c r="N22" s="144"/>
      <c r="O22" s="144">
        <f t="shared" si="0"/>
        <v>0.36000000000000004</v>
      </c>
      <c r="P22" s="144"/>
      <c r="V22">
        <v>0.1</v>
      </c>
    </row>
    <row r="23" spans="2:22">
      <c r="B23" s="144" t="s">
        <v>193</v>
      </c>
      <c r="C23" s="144" t="s">
        <v>206</v>
      </c>
      <c r="D23" s="144" t="s">
        <v>207</v>
      </c>
      <c r="E23" s="144" t="s">
        <v>23</v>
      </c>
      <c r="F23" t="s">
        <v>22</v>
      </c>
      <c r="G23" s="144"/>
      <c r="H23" s="144"/>
      <c r="I23" s="144"/>
      <c r="L23" s="144" t="s">
        <v>78</v>
      </c>
      <c r="M23" s="144"/>
      <c r="N23" s="144"/>
      <c r="O23" s="144">
        <f>V23*3.6</f>
        <v>25.2</v>
      </c>
      <c r="P23" s="144"/>
      <c r="V23" s="144">
        <v>7</v>
      </c>
    </row>
    <row r="24" spans="2:22">
      <c r="B24" s="144" t="s">
        <v>193</v>
      </c>
      <c r="C24" t="s">
        <v>208</v>
      </c>
      <c r="D24" t="s">
        <v>209</v>
      </c>
      <c r="E24" s="144" t="s">
        <v>23</v>
      </c>
      <c r="F24" t="s">
        <v>22</v>
      </c>
      <c r="G24" s="144"/>
      <c r="H24" s="144"/>
      <c r="I24" s="144"/>
      <c r="J24" s="144" t="str">
        <f>C22</f>
        <v>nuclear_fuel</v>
      </c>
      <c r="K24" s="144"/>
      <c r="L24" s="144" t="s">
        <v>77</v>
      </c>
      <c r="M24" s="144"/>
      <c r="N24" s="144"/>
      <c r="O24" s="144">
        <f>V24*3.6</f>
        <v>0.36000000000000004</v>
      </c>
      <c r="P24" s="144"/>
      <c r="V24">
        <v>0.1</v>
      </c>
    </row>
    <row r="25" spans="2:22">
      <c r="B25" s="144" t="s">
        <v>193</v>
      </c>
      <c r="C25" t="s">
        <v>210</v>
      </c>
      <c r="D25" t="s">
        <v>211</v>
      </c>
      <c r="E25" s="144" t="s">
        <v>23</v>
      </c>
      <c r="F25" t="s">
        <v>22</v>
      </c>
      <c r="G25" s="144"/>
      <c r="H25" s="144"/>
      <c r="I25" s="144"/>
      <c r="J25" s="144" t="str">
        <f>C23</f>
        <v>solar_potential</v>
      </c>
      <c r="K25" s="144"/>
      <c r="L25" s="144" t="s">
        <v>212</v>
      </c>
      <c r="M25" s="144"/>
      <c r="N25" s="144"/>
      <c r="O25" s="144">
        <f>V25*3.6</f>
        <v>0.36000000000000004</v>
      </c>
      <c r="P25" s="144"/>
      <c r="V25">
        <v>0.1</v>
      </c>
    </row>
    <row r="26" spans="2:22">
      <c r="B26" s="144"/>
      <c r="C26" s="144"/>
      <c r="D26" s="144"/>
      <c r="E26" s="144"/>
      <c r="F26" s="144"/>
      <c r="G26" s="144"/>
      <c r="H26" s="144"/>
      <c r="I26" s="144"/>
      <c r="J26" s="144" t="str">
        <f>C24</f>
        <v>winon_potential</v>
      </c>
      <c r="K26" s="144"/>
      <c r="L26" s="144" t="s">
        <v>213</v>
      </c>
      <c r="M26" s="144"/>
      <c r="N26" s="144"/>
      <c r="O26" s="144">
        <f>V26*3.6</f>
        <v>0.36000000000000004</v>
      </c>
      <c r="P26" s="144"/>
      <c r="V26">
        <v>0.1</v>
      </c>
    </row>
    <row r="27" spans="2:22">
      <c r="B27" s="144"/>
      <c r="C27" s="144"/>
      <c r="D27" s="144"/>
      <c r="E27" s="144"/>
      <c r="F27" s="144"/>
      <c r="G27" s="144"/>
      <c r="H27" s="144"/>
      <c r="I27" s="144"/>
      <c r="J27" s="144" t="str">
        <f>C25</f>
        <v>winoff_potential</v>
      </c>
      <c r="K27" s="144"/>
      <c r="L27" s="144" t="s">
        <v>214</v>
      </c>
      <c r="M27" s="144"/>
      <c r="N27" s="144"/>
      <c r="O27" s="144">
        <f t="shared" ref="O27" si="1">V27*3.6</f>
        <v>0.36000000000000004</v>
      </c>
      <c r="P27" s="144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4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conventional</vt:lpstr>
      <vt:lpstr>H2 prod</vt:lpstr>
      <vt:lpstr>EV Battery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2026-09-16T05:34:13Z</dcterms:created>
  <dcterms:modified xsi:type="dcterms:W3CDTF">2026-09-16T05:34:13Z</dcterms:modified>
</cp:coreProperties>
</file>