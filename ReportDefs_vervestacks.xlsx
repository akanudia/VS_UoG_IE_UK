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S_UoG_IE_UK\"/>
    </mc:Choice>
  </mc:AlternateContent>
  <xr:revisionPtr revIDLastSave="0" documentId="13_ncr:1_{8FD0661B-9E12-4922-BCE3-F8A60963113C}" xr6:coauthVersionLast="47" xr6:coauthVersionMax="47" xr10:uidLastSave="{00000000-0000-0000-0000-000000000000}"/>
  <bookViews>
    <workbookView xWindow="-98" yWindow="-98" windowWidth="28996" windowHeight="17475" firstSheet="8" activeTab="15" xr2:uid="{00000000-000D-0000-FFFF-FFFF00000000}"/>
  </bookViews>
  <sheets>
    <sheet name="ScenMap" sheetId="70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geolocation_GBR" sheetId="72" r:id="rId9"/>
    <sheet name="process_map_geo_GBR" sheetId="71" r:id="rId10"/>
    <sheet name="process map" sheetId="65" r:id="rId11"/>
    <sheet name="commodity map" sheetId="67" r:id="rId12"/>
    <sheet name="ATS" sheetId="63" r:id="rId13"/>
    <sheet name="UnitConv" sheetId="59" r:id="rId14"/>
    <sheet name="process_map_geo_IRL" sheetId="73" r:id="rId15"/>
    <sheet name="geolocation_IRL" sheetId="74" r:id="rId16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65" l="1"/>
  <c r="C29" i="65"/>
  <c r="C28" i="65"/>
  <c r="C27" i="65"/>
  <c r="C26" i="65"/>
  <c r="C25" i="65"/>
  <c r="C24" i="65"/>
  <c r="N43" i="27"/>
  <c r="N42" i="27"/>
  <c r="N41" i="27"/>
  <c r="C58" i="65" l="1"/>
  <c r="D4" i="68"/>
  <c r="J13" i="70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57" i="65" l="1"/>
  <c r="C56" i="65"/>
  <c r="C55" i="65"/>
  <c r="C54" i="65"/>
  <c r="C53" i="65"/>
  <c r="C52" i="65"/>
  <c r="C51" i="65"/>
  <c r="C50" i="65"/>
  <c r="C49" i="65"/>
  <c r="G17" i="69"/>
  <c r="G16" i="69"/>
  <c r="G20" i="69"/>
  <c r="B17" i="69"/>
  <c r="B16" i="69"/>
  <c r="H14" i="69"/>
  <c r="H13" i="69"/>
  <c r="F13" i="69" s="1"/>
  <c r="F19" i="69"/>
  <c r="B14" i="66"/>
  <c r="B13" i="66"/>
  <c r="B12" i="66"/>
  <c r="B11" i="66"/>
  <c r="B10" i="66"/>
  <c r="B9" i="66"/>
  <c r="B8" i="66"/>
  <c r="B7" i="66"/>
  <c r="B5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31" i="65"/>
  <c r="C32" i="65"/>
  <c r="C33" i="65"/>
  <c r="C34" i="65"/>
  <c r="C35" i="65"/>
  <c r="C5" i="65"/>
  <c r="B26" i="57"/>
  <c r="B25" i="57"/>
  <c r="B6" i="69"/>
  <c r="B5" i="69"/>
  <c r="B14" i="69" s="1"/>
  <c r="B23" i="57"/>
  <c r="B24" i="57"/>
  <c r="B22" i="57"/>
  <c r="G6" i="69" l="1"/>
  <c r="G5" i="69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F4FB81A6-5C5F-43E1-AC72-FA46354CBEA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<sst xmlns="http://schemas.openxmlformats.org/spreadsheetml/2006/main" count="12181" uniqueCount="880">
  <si>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</si>
  <si>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</si>
  <si>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</si>
  <si>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</si>
  <si>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</si>
  <si>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</si>
  <si>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</si>
  <si>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</si>
  <si>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</si>
  <si>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</si>
  <si>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</si>
  <si>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</si>
  <si>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</si>
  <si>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</si>
  <si>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</si>
  <si>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</si>
  <si>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</si>
  <si>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</si>
  <si>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</si>
  <si>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</si>
  <si>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</si>
  <si>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</si>
  <si>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</si>
  <si>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</si>
  <si>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</si>
  <si>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</si>
  <si>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</si>
  <si>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</si>
  <si>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</si>
  <si>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</si>
  <si>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</si>
  <si>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</si>
  <si>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</si>
  <si>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</si>
  <si>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</si>
  <si>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</si>
  <si>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</si>
  <si>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</si>
  <si>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</si>
  <si>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</si>
  <si>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</si>
  <si>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</si>
  <si>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</si>
  <si>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</si>
  <si>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</si>
  <si>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</si>
  <si>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</si>
  <si>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</si>
  <si>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</si>
  <si>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</si>
  <si>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</si>
  <si>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</si>
  <si>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</si>
  <si>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</si>
  <si>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</si>
  <si>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</si>
  <si>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</si>
  <si>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</si>
  <si>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</si>
  <si>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</si>
  <si>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</si>
  <si>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</si>
  <si>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</si>
  <si>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</si>
  <si>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</si>
  <si>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</si>
  <si>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</si>
  <si>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</si>
  <si>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</si>
  <si>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</si>
  <si>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</si>
  <si>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</si>
  <si>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</si>
  <si>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</si>
  <si>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</si>
  <si>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</si>
  <si>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</si>
  <si>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</si>
  <si>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</si>
  <si>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</si>
  <si>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</si>
  <si>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</si>
  <si>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</si>
  <si>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</si>
  <si>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</si>
  <si>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</si>
  <si>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</si>
  <si>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</si>
  <si>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</si>
  <si>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</si>
  <si>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</si>
  <si>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</si>
  <si>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</si>
  <si>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</si>
  <si>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</si>
  <si>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</si>
  <si>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</si>
  <si>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</si>
  <si>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</si>
  <si>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</si>
  <si>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</si>
  <si>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</si>
  <si>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</si>
  <si>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</si>
  <si>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</si>
  <si>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</si>
  <si>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-ElcAgg*,-*EV*</t>
  </si>
  <si>
    <t>t</t>
  </si>
  <si>
    <t>old_new</t>
  </si>
  <si>
    <t>*</t>
  </si>
  <si>
    <t>new</t>
  </si>
  <si>
    <t>ep*</t>
  </si>
  <si>
    <t>old</t>
  </si>
  <si>
    <t>CO2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</si>
  <si>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</si>
  <si>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</si>
  <si>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</si>
  <si>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</si>
  <si>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</si>
  <si>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</si>
  <si>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</si>
  <si>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</si>
  <si>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</si>
  <si>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</si>
  <si>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</si>
  <si>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</si>
  <si>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</si>
  <si>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</si>
  <si>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</si>
  <si>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</si>
  <si>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</si>
  <si>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</si>
  <si>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</si>
  <si>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</si>
  <si>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</si>
  <si>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</si>
  <si>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</si>
  <si>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</si>
  <si>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</si>
  <si>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</si>
  <si>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</si>
  <si>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</si>
  <si>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</si>
  <si>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</si>
  <si>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</si>
  <si>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</si>
  <si>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</si>
  <si>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</si>
  <si>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</si>
  <si>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</si>
  <si>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</si>
  <si>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</si>
  <si>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</si>
  <si>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</si>
  <si>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</si>
  <si>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</si>
  <si>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</si>
  <si>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</si>
  <si>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</si>
  <si>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Aggregators</t>
  </si>
  <si>
    <t>DUMMY_IMP</t>
  </si>
  <si>
    <t>Transformers Dn</t>
  </si>
  <si>
    <t>Transformers Up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</si>
  <si>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</si>
  <si>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</si>
  <si>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</si>
  <si>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</si>
  <si>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</si>
  <si>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</si>
  <si>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</si>
  <si>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</si>
  <si>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</si>
  <si>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</si>
  <si>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</si>
  <si>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</si>
  <si>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</si>
  <si>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</si>
  <si>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</si>
  <si>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</si>
  <si>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</si>
  <si>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</si>
  <si>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</si>
  <si>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</si>
  <si>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</si>
  <si>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</si>
  <si>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</si>
  <si>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</si>
  <si>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</si>
  <si>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</si>
  <si>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</si>
  <si>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</si>
  <si>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</si>
  <si>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</si>
  <si>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</si>
  <si>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</si>
  <si>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ev_bat*</t>
  </si>
  <si>
    <t>H2Prd*</t>
  </si>
  <si>
    <t>e_dem*,ev_bat*,H2Prd*</t>
  </si>
  <si>
    <t>e*</t>
  </si>
  <si>
    <t>p,c</t>
  </si>
  <si>
    <t>ELC_???[_]???*,e[_]*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</si>
  <si>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</si>
  <si>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</si>
  <si>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</si>
  <si>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</si>
  <si>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</si>
  <si>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</si>
  <si>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</si>
  <si>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</si>
  <si>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</si>
  <si>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</si>
  <si>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</si>
  <si>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</si>
  <si>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</si>
  <si>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</si>
  <si>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</si>
  <si>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</si>
  <si>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</si>
  <si>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</si>
  <si>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</si>
  <si>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</si>
  <si>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</si>
  <si>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</si>
  <si>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</si>
  <si>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</si>
  <si>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</si>
  <si>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</si>
  <si>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</si>
  <si>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</si>
  <si>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</si>
  <si>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</si>
  <si>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</si>
  <si>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</si>
  <si>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</si>
  <si>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</si>
  <si>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</si>
  <si>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</si>
  <si>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</si>
  <si>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</si>
  <si>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</si>
  <si>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</si>
  <si>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</si>
  <si>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</si>
  <si>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</si>
  <si>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</si>
  <si>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</si>
  <si>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</si>
  <si>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</si>
  <si>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</si>
  <si>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</si>
  <si>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</si>
  <si>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</si>
  <si>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</si>
  <si>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</si>
  <si>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</si>
  <si>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</si>
  <si>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</si>
  <si>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</si>
  <si>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</si>
  <si>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</si>
  <si>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</si>
  <si>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</si>
  <si>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</si>
  <si>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</si>
  <si>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</si>
  <si>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</si>
  <si>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</si>
  <si>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</si>
  <si>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</si>
  <si>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</si>
  <si>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</si>
  <si>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</si>
  <si>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</si>
  <si>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</si>
  <si>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</si>
  <si>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</si>
  <si>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</si>
  <si>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</si>
  <si>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</si>
  <si>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</si>
  <si>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</si>
  <si>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</si>
  <si>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</si>
  <si>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</si>
  <si>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</si>
  <si>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</si>
  <si>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</si>
  <si>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</si>
  <si>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</si>
  <si>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</si>
  <si>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</si>
  <si>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</si>
  <si>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</si>
  <si>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</si>
  <si>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Cap_New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</si>
  <si>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</si>
  <si>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</si>
  <si>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</si>
  <si>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</si>
  <si>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</si>
  <si>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</si>
  <si>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</si>
  <si>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ELE,CHP,STG,IRE</t>
  </si>
  <si>
    <t>ELE,CHP,IRE</t>
  </si>
  <si>
    <t>ELE,CHP,STG,IRE,-Grid</t>
  </si>
  <si>
    <t>ELE,CHP,STG,IRE,grid,aggregators</t>
  </si>
  <si>
    <t>ELE,CHP</t>
  </si>
  <si>
    <t>m$</t>
  </si>
  <si>
    <t>z_Elecprodcost</t>
  </si>
  <si>
    <t>Cost_Flox</t>
  </si>
  <si>
    <t>NRG,ENV</t>
  </si>
  <si>
    <t>-ELC*,-e[_]*</t>
  </si>
  <si>
    <t>c</t>
  </si>
  <si>
    <t>Avg_cost_elec</t>
  </si>
  <si>
    <t>scalar</t>
  </si>
  <si>
    <t>co2[_]*,co2s[_]*</t>
  </si>
  <si>
    <t>ktpa</t>
  </si>
  <si>
    <t>storage</t>
  </si>
  <si>
    <t>trade</t>
  </si>
  <si>
    <t>IRE</t>
  </si>
  <si>
    <t>STG</t>
  </si>
  <si>
    <t>CO2Captured,CO2[_]*</t>
  </si>
  <si>
    <t>VAR_ACT</t>
  </si>
  <si>
    <t>STG,STS</t>
  </si>
  <si>
    <t>Storage Activity (energy stored)</t>
  </si>
  <si>
    <t>p,t</t>
  </si>
  <si>
    <t>Storage charging</t>
  </si>
  <si>
    <t>p,c,t</t>
  </si>
  <si>
    <t>Storage discharging</t>
  </si>
  <si>
    <t>TWhneg</t>
  </si>
  <si>
    <t>DeACT TS_Defs: Snk_attr=SANKEY whole system</t>
  </si>
  <si>
    <t>OCGT</t>
  </si>
  <si>
    <t>Gas_Oil_Steam</t>
  </si>
  <si>
    <t>Int_Comb</t>
  </si>
  <si>
    <t>Subcrit_Coal</t>
  </si>
  <si>
    <t>Supercrit_Coal</t>
  </si>
  <si>
    <t>CHP_Gas</t>
  </si>
  <si>
    <t>CHP_Coal</t>
  </si>
  <si>
    <t>CHP_Bio</t>
  </si>
  <si>
    <t>HOP_Gas</t>
  </si>
  <si>
    <t>HOP_Bio</t>
  </si>
  <si>
    <t>HOP_Elec</t>
  </si>
  <si>
    <t>Heat_Pump</t>
  </si>
  <si>
    <t>Bio_Power</t>
  </si>
  <si>
    <t>Solar_Util</t>
  </si>
  <si>
    <t>Wind_Onshore</t>
  </si>
  <si>
    <t>Wind_Offshore</t>
  </si>
  <si>
    <t>Geothermal</t>
  </si>
  <si>
    <t>Hydro_Dam</t>
  </si>
  <si>
    <t>Hydro_RoR</t>
  </si>
  <si>
    <t>Nuclear_P</t>
  </si>
  <si>
    <t>Nuclear_SMR</t>
  </si>
  <si>
    <t>Hydro_PS</t>
  </si>
  <si>
    <t>Batt_Util</t>
  </si>
  <si>
    <t>Batt_EV</t>
  </si>
  <si>
    <t>co2cap*,co2[_]*</t>
  </si>
  <si>
    <t>biofuels_*,cement_*,chemicals_*,fertilizer_*,glass_*,lime_*,non_ferrous_*,petchem_*,pulp_paper_*,soda_ash_*,steel_*,wood_*</t>
  </si>
  <si>
    <t>Industry</t>
  </si>
  <si>
    <t>Buildings</t>
  </si>
  <si>
    <t>e_dem*build*</t>
  </si>
  <si>
    <t>e_dem*ind*</t>
  </si>
  <si>
    <t>network_type</t>
  </si>
  <si>
    <t>g[_]*</t>
  </si>
  <si>
    <t>power</t>
  </si>
  <si>
    <t>p[_]co2_*</t>
  </si>
  <si>
    <t>co2</t>
  </si>
  <si>
    <t>biofuels_*</t>
  </si>
  <si>
    <t>ind_biofuels</t>
  </si>
  <si>
    <t>cement_*</t>
  </si>
  <si>
    <t>ind_chemicals</t>
  </si>
  <si>
    <t>chemicals_*</t>
  </si>
  <si>
    <t>ind_cement</t>
  </si>
  <si>
    <t>fertilizer_*</t>
  </si>
  <si>
    <t>ind_fertilizer</t>
  </si>
  <si>
    <t>glass_*</t>
  </si>
  <si>
    <t>ind_glass</t>
  </si>
  <si>
    <t>lime_*</t>
  </si>
  <si>
    <t>ind_lime</t>
  </si>
  <si>
    <t>non_ferrous_*</t>
  </si>
  <si>
    <t>ind_non_ferrous</t>
  </si>
  <si>
    <t>petchem_*</t>
  </si>
  <si>
    <t>ind_petchem</t>
  </si>
  <si>
    <t>pulp_paper_*</t>
  </si>
  <si>
    <t>ind_pulp_paper</t>
  </si>
  <si>
    <t>soda_ash_*</t>
  </si>
  <si>
    <t>ind_soda_ash</t>
  </si>
  <si>
    <t>steel_*</t>
  </si>
  <si>
    <t>ind_steel</t>
  </si>
  <si>
    <t>wood_*</t>
  </si>
  <si>
    <t>ind_wood</t>
  </si>
  <si>
    <t>co2[_]*</t>
  </si>
  <si>
    <t>co2s[_]*</t>
  </si>
  <si>
    <t>CO2_stored</t>
  </si>
  <si>
    <t>Tech_origin</t>
  </si>
  <si>
    <t>VerveStacks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</si>
  <si>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</si>
  <si>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</si>
  <si>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</si>
  <si>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</si>
  <si>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</si>
  <si>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</si>
  <si>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</si>
  <si>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</si>
  <si>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</si>
  <si>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</si>
  <si>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</si>
  <si>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</si>
  <si>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val</t>
  </si>
  <si>
    <t>varbl</t>
  </si>
  <si>
    <t>model</t>
  </si>
  <si>
    <t>region</t>
  </si>
  <si>
    <t>History</t>
  </si>
  <si>
    <t>EMBER</t>
  </si>
  <si>
    <t>GBR</t>
  </si>
  <si>
    <t>IRENA</t>
  </si>
  <si>
    <t>Export</t>
  </si>
  <si>
    <t>Import</t>
  </si>
  <si>
    <t>grid_node</t>
  </si>
  <si>
    <t>p_Peterborough_GBR</t>
  </si>
  <si>
    <t>p_Basildon_GBR</t>
  </si>
  <si>
    <t>p_Aberdeen_GBR</t>
  </si>
  <si>
    <t>p_Wick_GBR</t>
  </si>
  <si>
    <t>p_Belfast_GBR</t>
  </si>
  <si>
    <t>p_Stranraer_GBR</t>
  </si>
  <si>
    <t>p_Glasgow_GBR</t>
  </si>
  <si>
    <t>p_Lisburn_GBR</t>
  </si>
  <si>
    <t>p_Ipswich_GBR</t>
  </si>
  <si>
    <t>p_Paisley_GBR</t>
  </si>
  <si>
    <t>p_Reading_GBR</t>
  </si>
  <si>
    <t>p_Plymouth_GBR</t>
  </si>
  <si>
    <t>p_Liverpool_GBR</t>
  </si>
  <si>
    <t>p_Derry_GBR</t>
  </si>
  <si>
    <t>p_Elgin_GBR</t>
  </si>
  <si>
    <t>p_Portsmouth_GBR</t>
  </si>
  <si>
    <t>p_Newcastle_GBR</t>
  </si>
  <si>
    <t>p_Ashford_GBR</t>
  </si>
  <si>
    <t>p_Manchester_GBR</t>
  </si>
  <si>
    <t>p_Preston_GBR</t>
  </si>
  <si>
    <t>p_Caerdydd_GBR</t>
  </si>
  <si>
    <t>p_Lerwick_GBR</t>
  </si>
  <si>
    <t>rez_spv_GBR_001</t>
  </si>
  <si>
    <t>rez_spv_GBR_002</t>
  </si>
  <si>
    <t>rez_spv_GBR_003</t>
  </si>
  <si>
    <t>rez_spv_GBR_004</t>
  </si>
  <si>
    <t>rez_spv_GBR_005</t>
  </si>
  <si>
    <t>rez_spv_GBR_006</t>
  </si>
  <si>
    <t>rez_spv_GBR_007</t>
  </si>
  <si>
    <t>rez_spv_GBR_008</t>
  </si>
  <si>
    <t>rez_spv_GBR_009</t>
  </si>
  <si>
    <t>rez_spv_GBR_010</t>
  </si>
  <si>
    <t>rez_spv_GBR_011</t>
  </si>
  <si>
    <t>rez_spv_GBR_012</t>
  </si>
  <si>
    <t>rez_spv_GBR_013</t>
  </si>
  <si>
    <t>rez_spv_GBR_014</t>
  </si>
  <si>
    <t>rez_spv_GBR_015</t>
  </si>
  <si>
    <t>rez_spv_GBR_016</t>
  </si>
  <si>
    <t>rez_spv_GBR_017</t>
  </si>
  <si>
    <t>rez_spv_GBR_018</t>
  </si>
  <si>
    <t>rez_spv_GBR_019</t>
  </si>
  <si>
    <t>rez_spv_GBR_020</t>
  </si>
  <si>
    <t>rez_spv_GBR_021</t>
  </si>
  <si>
    <t>rez_spv_GBR_022</t>
  </si>
  <si>
    <t>rez_won_GBR_001</t>
  </si>
  <si>
    <t>rez_won_GBR_002</t>
  </si>
  <si>
    <t>rez_won_GBR_003</t>
  </si>
  <si>
    <t>rez_won_GBR_004</t>
  </si>
  <si>
    <t>rez_won_GBR_005</t>
  </si>
  <si>
    <t>rez_won_GBR_006</t>
  </si>
  <si>
    <t>rez_won_GBR_007</t>
  </si>
  <si>
    <t>rez_won_GBR_008</t>
  </si>
  <si>
    <t>rez_won_GBR_009</t>
  </si>
  <si>
    <t>rez_won_GBR_010</t>
  </si>
  <si>
    <t>rez_won_GBR_011</t>
  </si>
  <si>
    <t>rez_won_GBR_012</t>
  </si>
  <si>
    <t>rez_won_GBR_013</t>
  </si>
  <si>
    <t>rez_won_GBR_014</t>
  </si>
  <si>
    <t>rez_won_GBR_015</t>
  </si>
  <si>
    <t>rez_won_GBR_016</t>
  </si>
  <si>
    <t>rez_won_GBR_017</t>
  </si>
  <si>
    <t>rez_won_GBR_018</t>
  </si>
  <si>
    <t>rez_won_GBR_019</t>
  </si>
  <si>
    <t>rez_won_GBR_020</t>
  </si>
  <si>
    <t>rez_won_GBR_021</t>
  </si>
  <si>
    <t>rez_won_GBR_022</t>
  </si>
  <si>
    <t>rez_wof_GBR_001</t>
  </si>
  <si>
    <t>rez_wof_GBR_002</t>
  </si>
  <si>
    <t>rez_wof_GBR_003</t>
  </si>
  <si>
    <t>rez_wof_GBR_004</t>
  </si>
  <si>
    <t>rez_wof_GBR_005</t>
  </si>
  <si>
    <t>rez_wof_GBR_006</t>
  </si>
  <si>
    <t>rez_wof_GBR_007</t>
  </si>
  <si>
    <t>rez_wof_GBR_008</t>
  </si>
  <si>
    <t>rez_wof_GBR_009</t>
  </si>
  <si>
    <t>rez_wof_GBR_010</t>
  </si>
  <si>
    <t>rez_wof_GBR_011</t>
  </si>
  <si>
    <t>rez_wof_GBR_012</t>
  </si>
  <si>
    <t>rez_wof_GBR_013</t>
  </si>
  <si>
    <t>rez_wof_GBR_014</t>
  </si>
  <si>
    <t>rez_wof_GBR_015</t>
  </si>
  <si>
    <t>rez_wof_GBR_016</t>
  </si>
  <si>
    <t>rez_wof_GBR_017</t>
  </si>
  <si>
    <t>rez_wof_GBR_018</t>
  </si>
  <si>
    <t>rez_wof_GBR_019</t>
  </si>
  <si>
    <t>rez_wof_GBR_020</t>
  </si>
  <si>
    <t>rez_wof_GBR_021</t>
  </si>
  <si>
    <t>rez_wof_GBR_022</t>
  </si>
  <si>
    <t>rez_wof_GBR_023</t>
  </si>
  <si>
    <t>rez_wof_GBR_024</t>
  </si>
  <si>
    <t>rez_wof_GBR_025</t>
  </si>
  <si>
    <t>rez_wof_GBR_026</t>
  </si>
  <si>
    <t>rez_wof_GBR_027</t>
  </si>
  <si>
    <t>rez_wof_GBR_028</t>
  </si>
  <si>
    <t>rez_wof_GBR_029</t>
  </si>
  <si>
    <t>rez_wof_GBR_030</t>
  </si>
  <si>
    <t>rez_wof_GBR_031</t>
  </si>
  <si>
    <t>rez_wof_GBR_032</t>
  </si>
  <si>
    <t>rez_wof_GBR_033</t>
  </si>
  <si>
    <t>rez_wof_GBR_034</t>
  </si>
  <si>
    <t>VERVESTACKS - the open USE platform · Powered by data · Shaped by vision · Guided by intuition · Fueled by passion</t>
  </si>
  <si>
    <t>admin_1</t>
  </si>
  <si>
    <t>East Midlands (England)</t>
  </si>
  <si>
    <t>South East (England)</t>
  </si>
  <si>
    <t>Scotland</t>
  </si>
  <si>
    <t>Northern Ireland</t>
  </si>
  <si>
    <t>East of England</t>
  </si>
  <si>
    <t>South West (England)</t>
  </si>
  <si>
    <t>Wales</t>
  </si>
  <si>
    <t>North East (England)</t>
  </si>
  <si>
    <t>North West (England)</t>
  </si>
  <si>
    <t>Unknown</t>
  </si>
  <si>
    <t>region_com</t>
  </si>
  <si>
    <t>e_Peterborough_GBR</t>
  </si>
  <si>
    <t>e_Basildon_GBR</t>
  </si>
  <si>
    <t>e_Aberdeen_GBR</t>
  </si>
  <si>
    <t>e_Wick_GBR</t>
  </si>
  <si>
    <t>e_Belfast_GBR</t>
  </si>
  <si>
    <t>e_Stranraer_GBR</t>
  </si>
  <si>
    <t>e_Glasgow_GBR</t>
  </si>
  <si>
    <t>e_Lisburn_GBR</t>
  </si>
  <si>
    <t>e_Ipswich_GBR</t>
  </si>
  <si>
    <t>e_Paisley_GBR</t>
  </si>
  <si>
    <t>e_Reading_GBR</t>
  </si>
  <si>
    <t>e_Plymouth_GBR</t>
  </si>
  <si>
    <t>e_Liverpool_GBR</t>
  </si>
  <si>
    <t>e_Derry_GBR</t>
  </si>
  <si>
    <t>e_Elgin_GBR</t>
  </si>
  <si>
    <t>e_Portsmouth_GBR</t>
  </si>
  <si>
    <t>e_Newcastle_GBR</t>
  </si>
  <si>
    <t>e_Ashford_GBR</t>
  </si>
  <si>
    <t>e_Manchester_GBR</t>
  </si>
  <si>
    <t>e_Preston_GBR</t>
  </si>
  <si>
    <t>e_Caerdydd_GBR</t>
  </si>
  <si>
    <t>e_Lerwick_GBR</t>
  </si>
  <si>
    <t>elc_spv_GBR_001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</si>
  <si>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</si>
  <si>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</si>
  <si>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</si>
  <si>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</si>
  <si>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</si>
  <si>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</si>
  <si>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</si>
  <si>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</si>
  <si>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</si>
  <si>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</si>
  <si>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</si>
  <si>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</si>
  <si>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</si>
  <si>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</si>
  <si>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</si>
  <si>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</si>
  <si>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</si>
  <si>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</si>
  <si>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</si>
  <si>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</si>
  <si>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elc_spv_GBR_022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</si>
  <si>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</si>
  <si>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</si>
  <si>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</si>
  <si>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</si>
  <si>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</si>
  <si>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</si>
  <si>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</si>
  <si>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</si>
  <si>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</si>
  <si>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</si>
  <si>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</si>
  <si>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</si>
  <si>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</si>
  <si>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</si>
  <si>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</si>
  <si>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</si>
  <si>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</si>
  <si>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</si>
  <si>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</si>
  <si>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</si>
  <si>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</si>
  <si>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elc_won_GBR_022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</si>
  <si>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</si>
  <si>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</si>
  <si>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</si>
  <si>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</si>
  <si>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</si>
  <si>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</si>
  <si>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</si>
  <si>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</si>
  <si>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</si>
  <si>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</si>
  <si>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</si>
  <si>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</si>
  <si>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</si>
  <si>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</si>
  <si>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</si>
  <si>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</si>
  <si>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</si>
  <si>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</si>
  <si>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</si>
  <si>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</si>
  <si>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</si>
  <si>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</si>
  <si>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</si>
  <si>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</si>
  <si>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</si>
  <si>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</si>
  <si>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</si>
  <si>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</si>
  <si>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</si>
  <si>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</si>
  <si>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</si>
  <si>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</si>
  <si>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</si>
  <si>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</si>
  <si>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~geolocation</t>
  </si>
  <si>
    <t>lat</t>
  </si>
  <si>
    <t>lng</t>
  </si>
  <si>
    <t>GBR-e_Peterborough_GBR</t>
  </si>
  <si>
    <t>GBR-e_Basildon_GBR</t>
  </si>
  <si>
    <t>GBR-e_Aberdeen_GBR</t>
  </si>
  <si>
    <t>GBR-e_Wick_GBR</t>
  </si>
  <si>
    <t>GBR-e_Belfast_GBR</t>
  </si>
  <si>
    <t>GBR-e_Stranraer_GBR</t>
  </si>
  <si>
    <t>GBR-e_Glasgow_GBR</t>
  </si>
  <si>
    <t>GBR-e_Lisburn_GBR</t>
  </si>
  <si>
    <t>GBR-e_Ipswich_GBR</t>
  </si>
  <si>
    <t>GBR-e_Paisley_GBR</t>
  </si>
  <si>
    <t>GBR-e_Reading_GBR</t>
  </si>
  <si>
    <t>GBR-e_Plymouth_GBR</t>
  </si>
  <si>
    <t>GBR-e_Liverpool_GBR</t>
  </si>
  <si>
    <t>GBR-e_Derry_GBR</t>
  </si>
  <si>
    <t>GBR-e_Elgin_GBR</t>
  </si>
  <si>
    <t>GBR-e_Portsmouth_GBR</t>
  </si>
  <si>
    <t>GBR-e_Newcastle_GBR</t>
  </si>
  <si>
    <t>GBR-e_Ashford_GBR</t>
  </si>
  <si>
    <t>GBR-e_Manchester_GBR</t>
  </si>
  <si>
    <t>GBR-e_Preston_GBR</t>
  </si>
  <si>
    <t>GBR-e_Caerdydd_GBR</t>
  </si>
  <si>
    <t>GBR-e_Lerwick_GBR</t>
  </si>
  <si>
    <t>GBR-elc_spv_GBR_001</t>
  </si>
  <si>
    <t>GBR-elc_spv_GBR_002</t>
  </si>
  <si>
    <t>GBR-elc_spv_GBR_003</t>
  </si>
  <si>
    <t>GBR-elc_spv_GBR_004</t>
  </si>
  <si>
    <t>GBR-elc_spv_GBR_005</t>
  </si>
  <si>
    <t>GBR-elc_spv_GBR_006</t>
  </si>
  <si>
    <t>GBR-elc_spv_GBR_007</t>
  </si>
  <si>
    <t>GBR-elc_spv_GBR_008</t>
  </si>
  <si>
    <t>GBR-elc_spv_GBR_009</t>
  </si>
  <si>
    <t>GBR-elc_spv_GBR_010</t>
  </si>
  <si>
    <t>GBR-elc_spv_GBR_011</t>
  </si>
  <si>
    <t>GBR-elc_spv_GBR_012</t>
  </si>
  <si>
    <t>GBR-elc_spv_GBR_013</t>
  </si>
  <si>
    <t>GBR-elc_spv_GBR_014</t>
  </si>
  <si>
    <t>GBR-elc_spv_GBR_015</t>
  </si>
  <si>
    <t>GBR-elc_spv_GBR_016</t>
  </si>
  <si>
    <t>GBR-elc_spv_GBR_017</t>
  </si>
  <si>
    <t>GBR-elc_spv_GBR_018</t>
  </si>
  <si>
    <t>GBR-elc_spv_GBR_019</t>
  </si>
  <si>
    <t>GBR-elc_spv_GBR_020</t>
  </si>
  <si>
    <t>GBR-elc_spv_GBR_021</t>
  </si>
  <si>
    <t>GBR-elc_spv_GBR_022</t>
  </si>
  <si>
    <t>GBR-elc_won_GBR_001</t>
  </si>
  <si>
    <t>GBR-elc_won_GBR_002</t>
  </si>
  <si>
    <t>GBR-elc_won_GBR_003</t>
  </si>
  <si>
    <t>GBR-elc_won_GBR_004</t>
  </si>
  <si>
    <t>GBR-elc_won_GBR_005</t>
  </si>
  <si>
    <t>GBR-elc_won_GBR_006</t>
  </si>
  <si>
    <t>GBR-elc_won_GBR_007</t>
  </si>
  <si>
    <t>GBR-elc_won_GBR_008</t>
  </si>
  <si>
    <t>GBR-elc_won_GBR_009</t>
  </si>
  <si>
    <t>GBR-elc_won_GBR_010</t>
  </si>
  <si>
    <t>GBR-elc_won_GBR_011</t>
  </si>
  <si>
    <t>GBR-elc_won_GBR_012</t>
  </si>
  <si>
    <t>GBR-elc_won_GBR_013</t>
  </si>
  <si>
    <t>GBR-elc_won_GBR_014</t>
  </si>
  <si>
    <t>GBR-elc_won_GBR_015</t>
  </si>
  <si>
    <t>GBR-elc_won_GBR_016</t>
  </si>
  <si>
    <t>GBR-elc_won_GBR_017</t>
  </si>
  <si>
    <t>GBR-elc_won_GBR_018</t>
  </si>
  <si>
    <t>GBR-elc_won_GBR_019</t>
  </si>
  <si>
    <t>GBR-elc_won_GBR_020</t>
  </si>
  <si>
    <t>GBR-elc_won_GBR_021</t>
  </si>
  <si>
    <t>GBR-elc_won_GBR_022</t>
  </si>
  <si>
    <t>GBR-elc_wof_GBR_001</t>
  </si>
  <si>
    <t>GBR-elc_wof_GBR_002</t>
  </si>
  <si>
    <t>GBR-elc_wof_GBR_003</t>
  </si>
  <si>
    <t>GBR-elc_wof_GBR_004</t>
  </si>
  <si>
    <t>GBR-elc_wof_GBR_005</t>
  </si>
  <si>
    <t>GBR-elc_wof_GBR_006</t>
  </si>
  <si>
    <t>GBR-elc_wof_GBR_007</t>
  </si>
  <si>
    <t>GBR-elc_wof_GBR_008</t>
  </si>
  <si>
    <t>GBR-elc_wof_GBR_009</t>
  </si>
  <si>
    <t>GBR-elc_wof_GBR_010</t>
  </si>
  <si>
    <t>GBR-elc_wof_GBR_011</t>
  </si>
  <si>
    <t>GBR-elc_wof_GBR_012</t>
  </si>
  <si>
    <t>GBR-elc_wof_GBR_013</t>
  </si>
  <si>
    <t>GBR-elc_wof_GBR_014</t>
  </si>
  <si>
    <t>GBR-elc_wof_GBR_015</t>
  </si>
  <si>
    <t>GBR-elc_wof_GBR_016</t>
  </si>
  <si>
    <t>GBR-elc_wof_GBR_017</t>
  </si>
  <si>
    <t>GBR-elc_wof_GBR_018</t>
  </si>
  <si>
    <t>GBR-elc_wof_GBR_019</t>
  </si>
  <si>
    <t>GBR-elc_wof_GBR_020</t>
  </si>
  <si>
    <t>GBR-elc_wof_GBR_021</t>
  </si>
  <si>
    <t>GBR-elc_wof_GBR_022</t>
  </si>
  <si>
    <t>GBR-elc_wof_GBR_023</t>
  </si>
  <si>
    <t>GBR-elc_wof_GBR_024</t>
  </si>
  <si>
    <t>GBR-elc_wof_GBR_025</t>
  </si>
  <si>
    <t>GBR-elc_wof_GBR_026</t>
  </si>
  <si>
    <t>GBR-elc_wof_GBR_027</t>
  </si>
  <si>
    <t>GBR-elc_wof_GBR_028</t>
  </si>
  <si>
    <t>GBR-elc_wof_GBR_029</t>
  </si>
  <si>
    <t>GBR-elc_wof_GBR_030</t>
  </si>
  <si>
    <t>GBR-elc_wof_GBR_031</t>
  </si>
  <si>
    <t>GBR-elc_wof_GBR_032</t>
  </si>
  <si>
    <t>GBR-elc_wof_GBR_033</t>
  </si>
  <si>
    <t>GBR-elc_wof_GBR_034</t>
  </si>
  <si>
    <t>p_Ballincollig_IRL</t>
  </si>
  <si>
    <t>Ireland</t>
  </si>
  <si>
    <t>e_Ballincollig_IRL</t>
  </si>
  <si>
    <t>p_Cork_IRL</t>
  </si>
  <si>
    <t>e_Cork_IRL</t>
  </si>
  <si>
    <t>p_Greystones_IRL</t>
  </si>
  <si>
    <t>e_Greystones_IRL</t>
  </si>
  <si>
    <t>p_Limerick_IRL</t>
  </si>
  <si>
    <t>e_Limerick_IRL</t>
  </si>
  <si>
    <t>p_Longford_IRL</t>
  </si>
  <si>
    <t>e_Longford_IRL</t>
  </si>
  <si>
    <t>p_Dublin_IRL</t>
  </si>
  <si>
    <t>e_Dublin_IRL</t>
  </si>
  <si>
    <t>p_Drogheda_IRL</t>
  </si>
  <si>
    <t>e_Drogheda_IRL</t>
  </si>
  <si>
    <t>p_DunDealgan_IRL</t>
  </si>
  <si>
    <t>e_DunDealgan_IRL</t>
  </si>
  <si>
    <t>p_Shannon_IRL</t>
  </si>
  <si>
    <t>e_Shannon_IRL</t>
  </si>
  <si>
    <t>p_Waterford_IRL</t>
  </si>
  <si>
    <t>e_Waterford_IRL</t>
  </si>
  <si>
    <t>rez_spv_IRL_001</t>
  </si>
  <si>
    <t>elc_spv_IRL_001</t>
  </si>
  <si>
    <t>rez_spv_IRL_002</t>
  </si>
  <si>
    <t>elc_spv_IRL_002</t>
  </si>
  <si>
    <t>rez_spv_IRL_003</t>
  </si>
  <si>
    <t>elc_spv_IRL_003</t>
  </si>
  <si>
    <t>rez_spv_IRL_004</t>
  </si>
  <si>
    <t>elc_spv_IRL_004</t>
  </si>
  <si>
    <t>rez_spv_IRL_005</t>
  </si>
  <si>
    <t>elc_spv_IRL_005</t>
  </si>
  <si>
    <t>rez_spv_IRL_006</t>
  </si>
  <si>
    <t>elc_spv_IRL_006</t>
  </si>
  <si>
    <t>rez_spv_IRL_007</t>
  </si>
  <si>
    <t>elc_spv_IRL_007</t>
  </si>
  <si>
    <t>rez_spv_IRL_008</t>
  </si>
  <si>
    <t>elc_spv_IRL_008</t>
  </si>
  <si>
    <t>rez_spv_IRL_009</t>
  </si>
  <si>
    <t>elc_spv_IRL_009</t>
  </si>
  <si>
    <t>rez_spv_IRL_010</t>
  </si>
  <si>
    <t>elc_spv_IRL_010</t>
  </si>
  <si>
    <t>rez_won_IRL_001</t>
  </si>
  <si>
    <t>elc_won_IRL_001</t>
  </si>
  <si>
    <t>rez_won_IRL_002</t>
  </si>
  <si>
    <t>elc_won_IRL_002</t>
  </si>
  <si>
    <t>rez_won_IRL_003</t>
  </si>
  <si>
    <t>elc_won_IRL_003</t>
  </si>
  <si>
    <t>rez_won_IRL_004</t>
  </si>
  <si>
    <t>elc_won_IRL_004</t>
  </si>
  <si>
    <t>rez_won_IRL_005</t>
  </si>
  <si>
    <t>elc_won_IRL_005</t>
  </si>
  <si>
    <t>rez_won_IRL_006</t>
  </si>
  <si>
    <t>elc_won_IRL_006</t>
  </si>
  <si>
    <t>rez_won_IRL_007</t>
  </si>
  <si>
    <t>elc_won_IRL_007</t>
  </si>
  <si>
    <t>rez_won_IRL_008</t>
  </si>
  <si>
    <t>elc_won_IRL_008</t>
  </si>
  <si>
    <t>rez_won_IRL_009</t>
  </si>
  <si>
    <t>elc_won_IRL_009</t>
  </si>
  <si>
    <t>rez_won_IRL_010</t>
  </si>
  <si>
    <t>elc_won_IRL_010</t>
  </si>
  <si>
    <t>rez_wof_IRL_001</t>
  </si>
  <si>
    <t>elc_wof_IRL_001</t>
  </si>
  <si>
    <t>rez_wof_IRL_002</t>
  </si>
  <si>
    <t>elc_wof_IRL_002</t>
  </si>
  <si>
    <t>rez_wof_IRL_003</t>
  </si>
  <si>
    <t>elc_wof_IRL_003</t>
  </si>
  <si>
    <t>rez_wof_IRL_004</t>
  </si>
  <si>
    <t>elc_wof_IRL_004</t>
  </si>
  <si>
    <t>rez_wof_IRL_005</t>
  </si>
  <si>
    <t>elc_wof_IRL_005</t>
  </si>
  <si>
    <t>rez_wof_IRL_006</t>
  </si>
  <si>
    <t>elc_wof_IRL_006</t>
  </si>
  <si>
    <t>rez_wof_IRL_007</t>
  </si>
  <si>
    <t>elc_wof_IRL_007</t>
  </si>
  <si>
    <t>rez_wof_IRL_008</t>
  </si>
  <si>
    <t>elc_wof_IRL_008</t>
  </si>
  <si>
    <t>rez_wof_IRL_009</t>
  </si>
  <si>
    <t>elc_wof_IRL_009</t>
  </si>
  <si>
    <t>rez_wof_IRL_010</t>
  </si>
  <si>
    <t>elc_wof_IRL_010</t>
  </si>
  <si>
    <t>rez_wof_IRL_011</t>
  </si>
  <si>
    <t>elc_wof_IRL_011</t>
  </si>
  <si>
    <t>rez_wof_IRL_012</t>
  </si>
  <si>
    <t>elc_wof_IRL_012</t>
  </si>
  <si>
    <t>rez_wof_IRL_013</t>
  </si>
  <si>
    <t>elc_wof_IRL_013</t>
  </si>
  <si>
    <t>rez_wof_IRL_014</t>
  </si>
  <si>
    <t>elc_wof_IRL_014</t>
  </si>
  <si>
    <t>rez_wof_IRL_015</t>
  </si>
  <si>
    <t>elc_wof_IRL_015</t>
  </si>
  <si>
    <t>rez_wof_IRL_016</t>
  </si>
  <si>
    <t>elc_wof_IRL_016</t>
  </si>
  <si>
    <t>rez_wof_IRL_017</t>
  </si>
  <si>
    <t>elc_wof_IRL_017</t>
  </si>
  <si>
    <t>rez_wof_IRL_018</t>
  </si>
  <si>
    <t>elc_wof_IRL_018</t>
  </si>
  <si>
    <t>IRL-e_Ballincollig_IRL</t>
  </si>
  <si>
    <t>IRL-e_Cork_IRL</t>
  </si>
  <si>
    <t>IRL-e_Greystones_IRL</t>
  </si>
  <si>
    <t>IRL-e_Limerick_IRL</t>
  </si>
  <si>
    <t>IRL-e_Longford_IRL</t>
  </si>
  <si>
    <t>IRL-e_Dublin_IRL</t>
  </si>
  <si>
    <t>IRL-e_Drogheda_IRL</t>
  </si>
  <si>
    <t>IRL-e_DunDealgan_IRL</t>
  </si>
  <si>
    <t>IRL-e_Shannon_IRL</t>
  </si>
  <si>
    <t>IRL-e_Waterford_IRL</t>
  </si>
  <si>
    <t>IRL-elc_spv_IRL_001</t>
  </si>
  <si>
    <t>IRL-elc_spv_IRL_002</t>
  </si>
  <si>
    <t>IRL-elc_spv_IRL_003</t>
  </si>
  <si>
    <t>IRL-elc_spv_IRL_004</t>
  </si>
  <si>
    <t>IRL-elc_spv_IRL_005</t>
  </si>
  <si>
    <t>IRL-elc_spv_IRL_006</t>
  </si>
  <si>
    <t>IRL-elc_spv_IRL_007</t>
  </si>
  <si>
    <t>IRL-elc_spv_IRL_008</t>
  </si>
  <si>
    <t>IRL-elc_spv_IRL_009</t>
  </si>
  <si>
    <t>IRL-elc_spv_IRL_010</t>
  </si>
  <si>
    <t>IRL-elc_won_IRL_001</t>
  </si>
  <si>
    <t>IRL-elc_won_IRL_002</t>
  </si>
  <si>
    <t>IRL-elc_won_IRL_003</t>
  </si>
  <si>
    <t>IRL-elc_won_IRL_004</t>
  </si>
  <si>
    <t>IRL-elc_won_IRL_005</t>
  </si>
  <si>
    <t>IRL-elc_won_IRL_006</t>
  </si>
  <si>
    <t>IRL-elc_won_IRL_007</t>
  </si>
  <si>
    <t>IRL-elc_won_IRL_008</t>
  </si>
  <si>
    <t>IRL-elc_won_IRL_009</t>
  </si>
  <si>
    <t>IRL-elc_won_IRL_010</t>
  </si>
  <si>
    <t>IRL-elc_wof_IRL_001</t>
  </si>
  <si>
    <t>IRL-elc_wof_IRL_002</t>
  </si>
  <si>
    <t>IRL-elc_wof_IRL_003</t>
  </si>
  <si>
    <t>IRL-elc_wof_IRL_004</t>
  </si>
  <si>
    <t>IRL-elc_wof_IRL_005</t>
  </si>
  <si>
    <t>IRL-elc_wof_IRL_006</t>
  </si>
  <si>
    <t>IRL-elc_wof_IRL_007</t>
  </si>
  <si>
    <t>IRL-elc_wof_IRL_008</t>
  </si>
  <si>
    <t>IRL-elc_wof_IRL_009</t>
  </si>
  <si>
    <t>IRL-elc_wof_IRL_010</t>
  </si>
  <si>
    <t>IRL-elc_wof_IRL_011</t>
  </si>
  <si>
    <t>IRL-elc_wof_IRL_012</t>
  </si>
  <si>
    <t>IRL-elc_wof_IRL_013</t>
  </si>
  <si>
    <t>IRL-elc_wof_IRL_014</t>
  </si>
  <si>
    <t>IRL-elc_wof_IRL_015</t>
  </si>
  <si>
    <t>IRL-elc_wof_IRL_016</t>
  </si>
  <si>
    <t>IRL-elc_wof_IRL_017</t>
  </si>
  <si>
    <t>IRL-elc_wof_IRL_018</t>
  </si>
  <si>
    <t>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</si>
</sst>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\o\n\th\ d\,\ yyyy"/>
    <numFmt numFmtId="165" formatCode="#.00"/>
    <numFmt numFmtId="166" formatCode="#."/>
    <numFmt numFmtId="167" formatCode="0."/>
    <numFmt numFmtId="168" formatCode="0.0"/>
  </numFmts>
  <fonts count="2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FFFFFF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19375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20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9" fillId="0" borderId="0" xfId="0" applyFont="1"/>
    <xf numFmtId="0" fontId="20" fillId="4" borderId="3" xfId="0" applyFont="1" applyFill="1" applyBorder="1"/>
    <xf numFmtId="0" fontId="21" fillId="5" borderId="4" xfId="0" applyFont="1" applyFill="1" applyBorder="1"/>
    <xf numFmtId="167" fontId="21" fillId="5" borderId="4" xfId="0" applyNumberFormat="1" applyFont="1" applyFill="1" applyBorder="1"/>
    <xf numFmtId="168" fontId="21" fillId="5" borderId="4" xfId="0" applyNumberFormat="1" applyFont="1" applyFill="1" applyBorder="1"/>
    <xf numFmtId="0" fontId="21" fillId="0" borderId="4" xfId="0" applyFont="1" applyBorder="1"/>
    <xf numFmtId="167" fontId="21" fillId="0" borderId="4" xfId="0" applyNumberFormat="1" applyFont="1" applyBorder="1"/>
    <xf numFmtId="168" fontId="21" fillId="0" borderId="4" xfId="0" applyNumberFormat="1" applyFont="1" applyBorder="1"/>
    <xf numFmtId="2" fontId="21" fillId="5" borderId="4" xfId="0" applyNumberFormat="1" applyFont="1" applyFill="1" applyBorder="1"/>
    <xf numFmtId="2" fontId="21" fillId="0" borderId="4" xfId="0" applyNumberFormat="1" applyFont="1" applyBorder="1"/>
    <xf numFmtId="0" fontId="22" fillId="6" borderId="4" xfId="0" applyFont="1" applyFill="1" applyBorder="1" applyAlignment="1">
      <alignment horizontal="left" vertical="center"/>
    </xf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86D433-BEDE-BF12-4830-333C4BD0C3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2575AC-DCAC-0698-9DB7-9C29C13772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B1D763-4E90-4ED7-A8A4-46CEB54235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9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7E2FB7-F5D8-4DC9-A26E-D813E8AB6D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8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188</v>
      </c>
      <c r="O5" t="s">
        <v>189</v>
      </c>
      <c r="P5" t="s">
        <v>190</v>
      </c>
      <c r="Q5" t="s">
        <v>281</v>
      </c>
      <c r="R5" t="s">
        <v>282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283</v>
      </c>
      <c r="P6">
        <v>1</v>
      </c>
      <c r="Q6" t="s">
        <v>284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285</v>
      </c>
      <c r="P7">
        <v>2</v>
      </c>
      <c r="Q7" t="s">
        <v>284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286</v>
      </c>
      <c r="P8">
        <v>3</v>
      </c>
      <c r="Q8" t="s">
        <v>284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287</v>
      </c>
      <c r="P9">
        <v>4</v>
      </c>
      <c r="Q9" t="s">
        <v>284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288</v>
      </c>
      <c r="P10">
        <v>5</v>
      </c>
      <c r="Q10" t="s">
        <v>289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290</v>
      </c>
      <c r="P11">
        <v>6</v>
      </c>
      <c r="Q11" t="s">
        <v>289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291</v>
      </c>
      <c r="P12">
        <v>7</v>
      </c>
      <c r="Q12" t="s">
        <v>289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292</v>
      </c>
      <c r="P13">
        <v>8</v>
      </c>
      <c r="Q13" t="s">
        <v>289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3"/>
  <sheetViews>
    <sheetView zoomScaleNormal="100" workbookViewId="0">
      <pane ySplit="2" topLeftCell="A6" activePane="bottomLeft" state="frozen"/>
      <selection pane="bottomLeft" activeCell="Q48" sqref="Q48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302</v>
      </c>
      <c r="D3" s="2" t="s">
        <v>132</v>
      </c>
      <c r="K3" t="s">
        <v>7</v>
      </c>
      <c r="N3" t="s">
        <v>63</v>
      </c>
    </row>
    <row r="4" spans="1:21">
      <c r="A4" t="s">
        <v>34</v>
      </c>
      <c r="C4" t="s">
        <v>302</v>
      </c>
      <c r="D4" s="2" t="s">
        <v>132</v>
      </c>
      <c r="K4" t="s">
        <v>7</v>
      </c>
      <c r="N4" t="s">
        <v>72</v>
      </c>
      <c r="T4" s="19" t="s">
        <v>37</v>
      </c>
      <c r="U4" s="19"/>
    </row>
    <row r="5" spans="1:21">
      <c r="A5" t="s">
        <v>4</v>
      </c>
      <c r="C5" t="s">
        <v>303</v>
      </c>
      <c r="D5" s="2" t="s">
        <v>132</v>
      </c>
      <c r="I5" t="s">
        <v>191</v>
      </c>
      <c r="K5" t="s">
        <v>135</v>
      </c>
      <c r="N5" t="s">
        <v>73</v>
      </c>
      <c r="T5" s="3" t="s">
        <v>38</v>
      </c>
      <c r="U5" s="3" t="s">
        <v>45</v>
      </c>
    </row>
    <row r="6" spans="1:21">
      <c r="A6" t="s">
        <v>136</v>
      </c>
      <c r="C6" t="s">
        <v>213</v>
      </c>
      <c r="D6" s="2" t="s">
        <v>132</v>
      </c>
      <c r="H6" t="s">
        <v>25</v>
      </c>
      <c r="K6" t="s">
        <v>135</v>
      </c>
      <c r="N6" t="s">
        <v>293</v>
      </c>
      <c r="T6" s="3"/>
      <c r="U6" s="3"/>
    </row>
    <row r="7" spans="1:21">
      <c r="A7" t="s">
        <v>53</v>
      </c>
      <c r="C7" t="s">
        <v>304</v>
      </c>
      <c r="D7" s="2"/>
      <c r="F7" s="2"/>
      <c r="H7" t="s">
        <v>25</v>
      </c>
      <c r="I7" s="2" t="s">
        <v>90</v>
      </c>
      <c r="K7" t="s">
        <v>223</v>
      </c>
      <c r="N7" t="s">
        <v>36</v>
      </c>
      <c r="Q7" t="s">
        <v>107</v>
      </c>
      <c r="T7" s="3"/>
      <c r="U7" s="3"/>
    </row>
    <row r="8" spans="1:21">
      <c r="A8" t="s">
        <v>4</v>
      </c>
      <c r="I8" s="2" t="s">
        <v>113</v>
      </c>
      <c r="K8" t="s">
        <v>114</v>
      </c>
      <c r="N8" t="s">
        <v>116</v>
      </c>
    </row>
    <row r="9" spans="1:21">
      <c r="A9" t="s">
        <v>4</v>
      </c>
      <c r="I9" s="2" t="s">
        <v>321</v>
      </c>
      <c r="K9" t="s">
        <v>115</v>
      </c>
      <c r="N9" t="s">
        <v>117</v>
      </c>
    </row>
    <row r="10" spans="1:21">
      <c r="A10" t="s">
        <v>136</v>
      </c>
      <c r="I10" s="2" t="s">
        <v>391</v>
      </c>
      <c r="K10" t="s">
        <v>114</v>
      </c>
      <c r="N10" t="s">
        <v>392</v>
      </c>
      <c r="Q10" t="s">
        <v>38</v>
      </c>
    </row>
    <row r="11" spans="1:21">
      <c r="A11" t="s">
        <v>294</v>
      </c>
      <c r="C11" t="s">
        <v>305</v>
      </c>
      <c r="D11" s="2" t="s">
        <v>106</v>
      </c>
      <c r="K11" t="s">
        <v>184</v>
      </c>
      <c r="M11" t="s">
        <v>295</v>
      </c>
      <c r="N11" t="s">
        <v>296</v>
      </c>
    </row>
    <row r="12" spans="1:21">
      <c r="A12" t="s">
        <v>216</v>
      </c>
      <c r="C12" t="s">
        <v>305</v>
      </c>
      <c r="D12" s="2" t="s">
        <v>106</v>
      </c>
      <c r="K12" t="s">
        <v>184</v>
      </c>
      <c r="N12" t="s">
        <v>74</v>
      </c>
    </row>
    <row r="13" spans="1:21">
      <c r="A13" t="s">
        <v>219</v>
      </c>
      <c r="C13" t="s">
        <v>305</v>
      </c>
      <c r="D13" s="2" t="s">
        <v>106</v>
      </c>
      <c r="K13" t="s">
        <v>184</v>
      </c>
      <c r="N13" t="s">
        <v>74</v>
      </c>
    </row>
    <row r="14" spans="1:21">
      <c r="A14" t="s">
        <v>217</v>
      </c>
      <c r="C14" t="s">
        <v>302</v>
      </c>
      <c r="D14" s="2" t="s">
        <v>106</v>
      </c>
      <c r="K14" t="s">
        <v>184</v>
      </c>
      <c r="N14" t="s">
        <v>210</v>
      </c>
    </row>
    <row r="15" spans="1:21">
      <c r="A15" t="s">
        <v>220</v>
      </c>
      <c r="C15" t="s">
        <v>302</v>
      </c>
      <c r="D15" s="2" t="s">
        <v>106</v>
      </c>
      <c r="K15" t="s">
        <v>184</v>
      </c>
      <c r="N15" t="s">
        <v>210</v>
      </c>
    </row>
    <row r="16" spans="1:21">
      <c r="A16" t="s">
        <v>218</v>
      </c>
      <c r="C16" t="s">
        <v>302</v>
      </c>
      <c r="D16" s="2" t="s">
        <v>106</v>
      </c>
      <c r="K16" t="s">
        <v>184</v>
      </c>
      <c r="N16" t="s">
        <v>211</v>
      </c>
    </row>
    <row r="17" spans="1:17">
      <c r="A17" t="s">
        <v>215</v>
      </c>
      <c r="C17" t="s">
        <v>213</v>
      </c>
      <c r="D17" s="2"/>
      <c r="I17" t="s">
        <v>214</v>
      </c>
      <c r="K17" t="s">
        <v>184</v>
      </c>
      <c r="N17" t="s">
        <v>212</v>
      </c>
    </row>
    <row r="18" spans="1:17">
      <c r="A18" s="4" t="s">
        <v>28</v>
      </c>
      <c r="B18" s="4" t="s">
        <v>49</v>
      </c>
      <c r="H18" t="s">
        <v>25</v>
      </c>
      <c r="I18" t="s">
        <v>214</v>
      </c>
      <c r="K18" t="s">
        <v>224</v>
      </c>
      <c r="N18" t="s">
        <v>297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124</v>
      </c>
      <c r="K19" t="s">
        <v>125</v>
      </c>
      <c r="N19" t="s">
        <v>126</v>
      </c>
    </row>
    <row r="20" spans="1:17">
      <c r="A20" s="4" t="s">
        <v>28</v>
      </c>
      <c r="B20" s="4" t="s">
        <v>49</v>
      </c>
      <c r="H20" t="s">
        <v>25</v>
      </c>
      <c r="I20" t="s">
        <v>300</v>
      </c>
      <c r="K20" t="s">
        <v>224</v>
      </c>
      <c r="N20" t="s">
        <v>298</v>
      </c>
      <c r="P20" t="s">
        <v>301</v>
      </c>
      <c r="Q20" t="s">
        <v>107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224</v>
      </c>
      <c r="N22" t="s">
        <v>54</v>
      </c>
    </row>
    <row r="23" spans="1:17">
      <c r="A23" s="4" t="s">
        <v>182</v>
      </c>
      <c r="K23" t="s">
        <v>184</v>
      </c>
      <c r="N23" t="s">
        <v>185</v>
      </c>
      <c r="Q23" t="s">
        <v>43</v>
      </c>
    </row>
    <row r="24" spans="1:17">
      <c r="A24" s="4" t="s">
        <v>183</v>
      </c>
      <c r="K24" t="s">
        <v>184</v>
      </c>
      <c r="N24" t="s">
        <v>186</v>
      </c>
      <c r="Q24" t="s">
        <v>43</v>
      </c>
    </row>
    <row r="25" spans="1:17">
      <c r="A25" t="s">
        <v>6</v>
      </c>
      <c r="C25" t="s">
        <v>299</v>
      </c>
      <c r="K25" t="s">
        <v>7</v>
      </c>
      <c r="N25" t="s">
        <v>192</v>
      </c>
    </row>
    <row r="26" spans="1:17">
      <c r="A26" t="s">
        <v>34</v>
      </c>
      <c r="C26" t="s">
        <v>299</v>
      </c>
      <c r="K26" t="s">
        <v>7</v>
      </c>
      <c r="N26" t="s">
        <v>193</v>
      </c>
    </row>
    <row r="27" spans="1:17">
      <c r="A27" s="4" t="s">
        <v>136</v>
      </c>
      <c r="D27" t="s">
        <v>197</v>
      </c>
      <c r="I27" t="s">
        <v>198</v>
      </c>
      <c r="K27" t="s">
        <v>135</v>
      </c>
      <c r="N27" t="s">
        <v>137</v>
      </c>
    </row>
    <row r="28" spans="1:17">
      <c r="A28" t="s">
        <v>136</v>
      </c>
      <c r="I28" t="s">
        <v>200</v>
      </c>
      <c r="K28" t="s">
        <v>135</v>
      </c>
      <c r="N28" t="s">
        <v>204</v>
      </c>
      <c r="P28" t="s">
        <v>201</v>
      </c>
      <c r="Q28" t="s">
        <v>199</v>
      </c>
    </row>
    <row r="29" spans="1:17">
      <c r="A29" t="s">
        <v>4</v>
      </c>
      <c r="I29" t="s">
        <v>200</v>
      </c>
      <c r="K29" t="s">
        <v>135</v>
      </c>
      <c r="N29" t="s">
        <v>205</v>
      </c>
      <c r="P29" t="s">
        <v>201</v>
      </c>
      <c r="Q29" t="s">
        <v>199</v>
      </c>
    </row>
    <row r="30" spans="1:17">
      <c r="A30" t="s">
        <v>6</v>
      </c>
      <c r="F30" t="s">
        <v>208</v>
      </c>
      <c r="G30" t="s">
        <v>208</v>
      </c>
      <c r="K30" t="s">
        <v>7</v>
      </c>
      <c r="N30" t="s">
        <v>206</v>
      </c>
      <c r="P30" t="s">
        <v>202</v>
      </c>
      <c r="Q30" t="s">
        <v>38</v>
      </c>
    </row>
    <row r="31" spans="1:17">
      <c r="A31" t="s">
        <v>34</v>
      </c>
      <c r="F31" t="s">
        <v>208</v>
      </c>
      <c r="G31" t="s">
        <v>208</v>
      </c>
      <c r="K31" t="s">
        <v>7</v>
      </c>
      <c r="N31" t="s">
        <v>207</v>
      </c>
      <c r="P31" t="s">
        <v>203</v>
      </c>
      <c r="Q31" t="s">
        <v>38</v>
      </c>
    </row>
    <row r="32" spans="1:17">
      <c r="A32" t="s">
        <v>217</v>
      </c>
      <c r="C32" t="s">
        <v>306</v>
      </c>
      <c r="K32" t="s">
        <v>307</v>
      </c>
      <c r="N32" t="s">
        <v>308</v>
      </c>
    </row>
    <row r="33" spans="1:17">
      <c r="A33" t="s">
        <v>309</v>
      </c>
      <c r="C33" t="s">
        <v>306</v>
      </c>
      <c r="K33" t="s">
        <v>307</v>
      </c>
      <c r="N33" t="s">
        <v>308</v>
      </c>
    </row>
    <row r="34" spans="1:17">
      <c r="A34" t="s">
        <v>218</v>
      </c>
      <c r="C34" t="s">
        <v>306</v>
      </c>
      <c r="K34" t="s">
        <v>307</v>
      </c>
      <c r="N34" t="s">
        <v>308</v>
      </c>
    </row>
    <row r="35" spans="1:17">
      <c r="A35" t="s">
        <v>216</v>
      </c>
      <c r="C35" t="s">
        <v>306</v>
      </c>
      <c r="K35" t="s">
        <v>307</v>
      </c>
      <c r="N35" t="s">
        <v>308</v>
      </c>
    </row>
    <row r="36" spans="1:17">
      <c r="A36" t="s">
        <v>215</v>
      </c>
      <c r="C36" t="s">
        <v>306</v>
      </c>
      <c r="H36" t="s">
        <v>310</v>
      </c>
      <c r="I36" s="2" t="s">
        <v>311</v>
      </c>
      <c r="K36" t="s">
        <v>307</v>
      </c>
      <c r="N36" t="s">
        <v>308</v>
      </c>
      <c r="Q36" t="s">
        <v>312</v>
      </c>
    </row>
    <row r="37" spans="1:17">
      <c r="A37" t="s">
        <v>136</v>
      </c>
      <c r="I37" t="s">
        <v>315</v>
      </c>
      <c r="K37" t="s">
        <v>114</v>
      </c>
      <c r="N37" t="s">
        <v>204</v>
      </c>
      <c r="P37" t="s">
        <v>201</v>
      </c>
      <c r="Q37" t="s">
        <v>199</v>
      </c>
    </row>
    <row r="38" spans="1:17">
      <c r="A38" t="s">
        <v>4</v>
      </c>
      <c r="I38" t="s">
        <v>315</v>
      </c>
      <c r="K38" t="s">
        <v>114</v>
      </c>
      <c r="N38" t="s">
        <v>205</v>
      </c>
      <c r="P38" t="s">
        <v>201</v>
      </c>
      <c r="Q38" t="s">
        <v>199</v>
      </c>
    </row>
    <row r="39" spans="1:17">
      <c r="A39" t="s">
        <v>6</v>
      </c>
      <c r="F39" t="s">
        <v>315</v>
      </c>
      <c r="G39" t="s">
        <v>315</v>
      </c>
      <c r="K39" t="s">
        <v>316</v>
      </c>
      <c r="N39" t="s">
        <v>206</v>
      </c>
      <c r="P39" t="s">
        <v>202</v>
      </c>
      <c r="Q39" t="s">
        <v>38</v>
      </c>
    </row>
    <row r="40" spans="1:17">
      <c r="A40" t="s">
        <v>34</v>
      </c>
      <c r="F40" t="s">
        <v>315</v>
      </c>
      <c r="G40" t="s">
        <v>315</v>
      </c>
      <c r="K40" t="s">
        <v>316</v>
      </c>
      <c r="N40" t="s">
        <v>207</v>
      </c>
      <c r="P40" t="s">
        <v>203</v>
      </c>
      <c r="Q40" t="s">
        <v>38</v>
      </c>
    </row>
    <row r="41" spans="1:17">
      <c r="A41" t="s">
        <v>322</v>
      </c>
      <c r="C41" t="s">
        <v>323</v>
      </c>
      <c r="K41" t="s">
        <v>135</v>
      </c>
      <c r="N41" t="str">
        <f>"Stg"&amp;MID(A41,4,10)</f>
        <v>Stg_ACT</v>
      </c>
      <c r="P41" t="s">
        <v>324</v>
      </c>
      <c r="Q41" t="s">
        <v>325</v>
      </c>
    </row>
    <row r="42" spans="1:17">
      <c r="A42" t="s">
        <v>136</v>
      </c>
      <c r="C42" t="s">
        <v>323</v>
      </c>
      <c r="K42" t="s">
        <v>329</v>
      </c>
      <c r="N42" t="str">
        <f>"Stg"&amp;MID(A42,4,10)</f>
        <v>Stg_FIN</v>
      </c>
      <c r="P42" t="s">
        <v>326</v>
      </c>
      <c r="Q42" t="s">
        <v>327</v>
      </c>
    </row>
    <row r="43" spans="1:17">
      <c r="A43" t="s">
        <v>4</v>
      </c>
      <c r="C43" t="s">
        <v>323</v>
      </c>
      <c r="K43" t="s">
        <v>135</v>
      </c>
      <c r="N43" t="str">
        <f>"Stg"&amp;MID(A43,4,10)</f>
        <v>Stg_FOUT</v>
      </c>
      <c r="P43" t="s">
        <v>328</v>
      </c>
      <c r="Q43" t="s">
        <v>327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L4"/>
  <sheetViews>
    <sheetView zoomScaleNormal="100" workbookViewId="0"/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94</v>
      </c>
    </row>
    <row r="2" spans="3:12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314</v>
      </c>
      <c r="L2" t="s">
        <v>9</v>
      </c>
    </row>
    <row r="3" spans="3:12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  <c r="K3">
        <v>0</v>
      </c>
    </row>
    <row r="4" spans="3:12">
      <c r="C4" t="s">
        <v>308</v>
      </c>
      <c r="D4" t="str">
        <f>C3</f>
        <v>Elec Production</v>
      </c>
      <c r="E4" t="s">
        <v>313</v>
      </c>
      <c r="F4" t="s">
        <v>224</v>
      </c>
      <c r="J4" t="s">
        <v>38</v>
      </c>
      <c r="K4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A11" sqref="A11"/>
    </sheetView>
  </sheetViews>
  <sheetFormatPr defaultRowHeight="14.25"/>
  <cols>
    <col min="1" max="19" width="19.265625" customWidth="1"/>
  </cols>
  <sheetData>
    <row r="3" spans="1:19" ht="17.25" thickBot="1">
      <c r="A3" s="5" t="s">
        <v>187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133</v>
      </c>
      <c r="S4" s="6" t="s">
        <v>134</v>
      </c>
    </row>
    <row r="5" spans="1:19">
      <c r="A5" t="s">
        <v>4</v>
      </c>
      <c r="B5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5" t="str">
        <f>_xlfn.TEXTJOIN(",",TRUE,CSET_MAP!$A$3:$A$22)</f>
        <v>Solar elec,Wind elec,hydrogen,ELC,buildings,industry,transport,EVs,fossil,renewable,bioenergy,nuclear</v>
      </c>
      <c r="J5" t="s">
        <v>135</v>
      </c>
      <c r="M5" t="s">
        <v>146</v>
      </c>
      <c r="S5">
        <v>-1</v>
      </c>
    </row>
    <row r="6" spans="1:19">
      <c r="A6" t="s">
        <v>136</v>
      </c>
      <c r="B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6" t="str">
        <f>_xlfn.TEXTJOIN(",",TRUE,CSET_MAP!$A$3:$A$22)</f>
        <v>Solar elec,Wind elec,hydrogen,ELC,buildings,industry,transport,EVs,fossil,renewable,bioenergy,nuclear</v>
      </c>
      <c r="J6" t="s">
        <v>135</v>
      </c>
      <c r="M6" t="s">
        <v>147</v>
      </c>
      <c r="S6">
        <v>-1</v>
      </c>
    </row>
    <row r="10" spans="1:19" ht="17.25" thickBot="1">
      <c r="A10" s="5" t="s">
        <v>330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133</v>
      </c>
      <c r="S11" s="6" t="s">
        <v>134</v>
      </c>
    </row>
    <row r="12" spans="1:19">
      <c r="A12" t="s">
        <v>109</v>
      </c>
      <c r="B12" s="4" t="s">
        <v>176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135</v>
      </c>
      <c r="M13" t="s">
        <v>171</v>
      </c>
      <c r="S13">
        <v>-1</v>
      </c>
    </row>
    <row r="14" spans="1:19">
      <c r="A14" t="s">
        <v>136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H14" t="str">
        <f>_xlfn.TEXTJOIN(",",TRUE,CName_MAP!$A$3:$A$16)</f>
        <v>bioenergy,coal,gas,geothermal,hydro,hydrogen,nuclear,oil,solar,windon,windoff</v>
      </c>
      <c r="J14" t="s">
        <v>135</v>
      </c>
      <c r="M14" t="s">
        <v>172</v>
      </c>
      <c r="S14">
        <v>-1</v>
      </c>
    </row>
    <row r="15" spans="1:19">
      <c r="A15" t="s">
        <v>109</v>
      </c>
      <c r="B15" s="4" t="s">
        <v>173</v>
      </c>
    </row>
    <row r="16" spans="1:19">
      <c r="A16" t="s">
        <v>4</v>
      </c>
      <c r="B1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6" t="str">
        <f>_xlfn.TEXTJOIN(",",TRUE,CSET_MAP!$A$3:$A$10)</f>
        <v>Solar elec,Wind elec,hydrogen,ELC,buildings,industry,transport,EVs</v>
      </c>
      <c r="J16" t="s">
        <v>135</v>
      </c>
      <c r="M16" t="s">
        <v>179</v>
      </c>
      <c r="S16">
        <v>-1</v>
      </c>
    </row>
    <row r="17" spans="1:19">
      <c r="A17" t="s">
        <v>136</v>
      </c>
      <c r="B17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7" t="str">
        <f>_xlfn.TEXTJOIN(",",TRUE,CSET_MAP!$A$3:$A$10)</f>
        <v>Solar elec,Wind elec,hydrogen,ELC,buildings,industry,transport,EVs</v>
      </c>
      <c r="J17" t="s">
        <v>135</v>
      </c>
      <c r="M17" t="s">
        <v>180</v>
      </c>
      <c r="S17">
        <v>-1</v>
      </c>
    </row>
    <row r="18" spans="1:19">
      <c r="A18" t="s">
        <v>109</v>
      </c>
      <c r="B18" s="4" t="s">
        <v>174</v>
      </c>
    </row>
    <row r="19" spans="1:19">
      <c r="A19" t="s">
        <v>4</v>
      </c>
      <c r="F19" t="str">
        <f>H19</f>
        <v>hydrogen</v>
      </c>
      <c r="H19" t="s">
        <v>139</v>
      </c>
      <c r="J19" t="s">
        <v>135</v>
      </c>
      <c r="M19" t="s">
        <v>171</v>
      </c>
      <c r="S19">
        <v>-1</v>
      </c>
    </row>
    <row r="20" spans="1:19">
      <c r="A20" t="s">
        <v>136</v>
      </c>
      <c r="F20" t="s">
        <v>139</v>
      </c>
      <c r="G20" t="str">
        <f>_xlfn.TEXTJOIN(",",TRUE,CSET_MAP!$A$3:$A$22)</f>
        <v>Solar elec,Wind elec,hydrogen,ELC,buildings,industry,transport,EVs,fossil,renewable,bioenergy,nuclear</v>
      </c>
      <c r="J20" t="s">
        <v>135</v>
      </c>
      <c r="M20" t="s">
        <v>181</v>
      </c>
      <c r="S20">
        <v>-1</v>
      </c>
    </row>
    <row r="23" spans="1:19">
      <c r="A23" t="s">
        <v>136</v>
      </c>
      <c r="E23" t="s">
        <v>139</v>
      </c>
      <c r="H23" t="s">
        <v>139</v>
      </c>
      <c r="J23" t="s">
        <v>135</v>
      </c>
      <c r="M23" t="s">
        <v>175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26"/>
  <sheetViews>
    <sheetView workbookViewId="0"/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26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149</v>
      </c>
      <c r="B10" t="str">
        <f t="shared" si="0"/>
        <v>Bio Power</v>
      </c>
    </row>
    <row r="11" spans="1:3">
      <c r="A11" t="s">
        <v>150</v>
      </c>
      <c r="B11" t="str">
        <f t="shared" si="0"/>
        <v>Solar Util</v>
      </c>
    </row>
    <row r="12" spans="1:3">
      <c r="A12" t="s">
        <v>85</v>
      </c>
      <c r="B12" t="s">
        <v>177</v>
      </c>
    </row>
    <row r="13" spans="1:3">
      <c r="A13" t="s">
        <v>86</v>
      </c>
      <c r="B13" t="s">
        <v>178</v>
      </c>
    </row>
    <row r="14" spans="1:3">
      <c r="A14" t="s">
        <v>151</v>
      </c>
      <c r="B14" t="str">
        <f t="shared" si="0"/>
        <v>Geothermal P</v>
      </c>
    </row>
    <row r="15" spans="1:3">
      <c r="A15" t="s">
        <v>155</v>
      </c>
      <c r="B15" t="str">
        <f t="shared" si="0"/>
        <v>Hydro Dam</v>
      </c>
    </row>
    <row r="16" spans="1:3">
      <c r="A16" t="s">
        <v>152</v>
      </c>
      <c r="B16" t="str">
        <f t="shared" si="0"/>
        <v>Hydro RoR</v>
      </c>
    </row>
    <row r="17" spans="1:2">
      <c r="A17" t="s">
        <v>153</v>
      </c>
      <c r="B17" t="str">
        <f t="shared" si="0"/>
        <v>Nuclear P</v>
      </c>
    </row>
    <row r="18" spans="1:2">
      <c r="A18" t="s">
        <v>154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137</v>
      </c>
      <c r="B22" t="str">
        <f t="shared" si="0"/>
        <v>Demand</v>
      </c>
    </row>
    <row r="23" spans="1:2">
      <c r="A23" t="s">
        <v>161</v>
      </c>
      <c r="B23" t="str">
        <f t="shared" si="0"/>
        <v>Transformers Dn</v>
      </c>
    </row>
    <row r="24" spans="1:2">
      <c r="A24" t="s">
        <v>162</v>
      </c>
      <c r="B24" t="str">
        <f t="shared" si="0"/>
        <v>Transformers Up</v>
      </c>
    </row>
    <row r="25" spans="1:2">
      <c r="A25" t="s">
        <v>159</v>
      </c>
      <c r="B25" t="str">
        <f t="shared" si="0"/>
        <v>Aggregators</v>
      </c>
    </row>
    <row r="26" spans="1:2">
      <c r="A26" t="s">
        <v>160</v>
      </c>
      <c r="B26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14"/>
  <sheetViews>
    <sheetView workbookViewId="0"/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156</v>
      </c>
      <c r="B3" t="s">
        <v>173</v>
      </c>
    </row>
    <row r="4" spans="1:3">
      <c r="A4" t="s">
        <v>157</v>
      </c>
      <c r="B4" t="s">
        <v>173</v>
      </c>
    </row>
    <row r="5" spans="1:3">
      <c r="A5" t="s">
        <v>139</v>
      </c>
      <c r="B5" t="str">
        <f t="shared" ref="B5" si="0">A5</f>
        <v>hydrogen</v>
      </c>
    </row>
    <row r="6" spans="1:3">
      <c r="A6" t="s">
        <v>141</v>
      </c>
      <c r="B6" t="s">
        <v>173</v>
      </c>
    </row>
    <row r="7" spans="1:3">
      <c r="A7" t="s">
        <v>142</v>
      </c>
      <c r="B7" t="str">
        <f t="shared" ref="B7:B14" si="1">A7</f>
        <v>buildings</v>
      </c>
    </row>
    <row r="8" spans="1:3">
      <c r="A8" t="s">
        <v>143</v>
      </c>
      <c r="B8" t="str">
        <f t="shared" si="1"/>
        <v>industry</v>
      </c>
    </row>
    <row r="9" spans="1:3">
      <c r="A9" t="s">
        <v>144</v>
      </c>
      <c r="B9" t="str">
        <f t="shared" si="1"/>
        <v>transport</v>
      </c>
    </row>
    <row r="10" spans="1:3">
      <c r="A10" t="s">
        <v>145</v>
      </c>
      <c r="B10" t="str">
        <f t="shared" si="1"/>
        <v>EVs</v>
      </c>
    </row>
    <row r="11" spans="1:3">
      <c r="A11" s="7" t="s">
        <v>148</v>
      </c>
      <c r="B11" s="7" t="str">
        <f t="shared" si="1"/>
        <v>fossil</v>
      </c>
    </row>
    <row r="12" spans="1:3">
      <c r="A12" s="7" t="s">
        <v>158</v>
      </c>
      <c r="B12" s="7" t="str">
        <f t="shared" si="1"/>
        <v>renewable</v>
      </c>
    </row>
    <row r="13" spans="1:3">
      <c r="A13" s="7" t="s">
        <v>138</v>
      </c>
      <c r="B13" s="7" t="str">
        <f t="shared" si="1"/>
        <v>bioenergy</v>
      </c>
    </row>
    <row r="14" spans="1:3">
      <c r="A14" s="7" t="s">
        <v>140</v>
      </c>
      <c r="B14" s="7" t="str">
        <f t="shared" si="1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A3" sqref="A3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138</v>
      </c>
      <c r="B3" t="str">
        <f>A3</f>
        <v>bioenergy</v>
      </c>
    </row>
    <row r="4" spans="1:3">
      <c r="A4" t="s">
        <v>122</v>
      </c>
      <c r="B4" t="str">
        <f t="shared" ref="B4:B11" si="0">A4</f>
        <v>coal</v>
      </c>
    </row>
    <row r="5" spans="1:3">
      <c r="A5" t="s">
        <v>123</v>
      </c>
      <c r="B5" t="str">
        <f t="shared" si="0"/>
        <v>gas</v>
      </c>
    </row>
    <row r="6" spans="1:3">
      <c r="A6" t="s">
        <v>163</v>
      </c>
      <c r="B6" t="str">
        <f t="shared" si="0"/>
        <v>geothermal</v>
      </c>
    </row>
    <row r="7" spans="1:3">
      <c r="A7" t="s">
        <v>164</v>
      </c>
      <c r="B7" t="str">
        <f t="shared" si="0"/>
        <v>hydro</v>
      </c>
    </row>
    <row r="8" spans="1:3">
      <c r="A8" t="s">
        <v>139</v>
      </c>
      <c r="B8" t="str">
        <f t="shared" si="0"/>
        <v>hydrogen</v>
      </c>
    </row>
    <row r="9" spans="1:3">
      <c r="A9" t="s">
        <v>140</v>
      </c>
      <c r="B9" t="str">
        <f t="shared" si="0"/>
        <v>nuclear</v>
      </c>
    </row>
    <row r="10" spans="1:3">
      <c r="A10" t="s">
        <v>165</v>
      </c>
      <c r="B10" t="str">
        <f t="shared" si="0"/>
        <v>oil</v>
      </c>
    </row>
    <row r="11" spans="1:3">
      <c r="A11" t="s">
        <v>166</v>
      </c>
      <c r="B11" t="str">
        <f t="shared" si="0"/>
        <v>solar</v>
      </c>
    </row>
    <row r="12" spans="1:3">
      <c r="A12" t="s">
        <v>167</v>
      </c>
      <c r="B12" t="s">
        <v>169</v>
      </c>
    </row>
    <row r="13" spans="1:3">
      <c r="A13" t="s">
        <v>168</v>
      </c>
      <c r="B13" t="s">
        <v>170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2"/>
  <sheetViews>
    <sheetView workbookViewId="0"/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131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130</v>
      </c>
      <c r="B3" t="s">
        <v>225</v>
      </c>
      <c r="C3" t="s">
        <v>226</v>
      </c>
    </row>
    <row r="4" spans="1:3">
      <c r="A4" t="s">
        <v>130</v>
      </c>
      <c r="B4" t="s">
        <v>227</v>
      </c>
      <c r="C4" t="s">
        <v>228</v>
      </c>
    </row>
    <row r="5" spans="1:3">
      <c r="A5" t="s">
        <v>130</v>
      </c>
      <c r="B5" t="s">
        <v>229</v>
      </c>
      <c r="C5" t="s">
        <v>230</v>
      </c>
    </row>
    <row r="6" spans="1:3">
      <c r="A6" t="s">
        <v>130</v>
      </c>
      <c r="B6" t="s">
        <v>231</v>
      </c>
      <c r="C6" t="s">
        <v>232</v>
      </c>
    </row>
    <row r="7" spans="1:3">
      <c r="A7" t="s">
        <v>130</v>
      </c>
      <c r="B7" t="s">
        <v>233</v>
      </c>
      <c r="C7" t="s">
        <v>234</v>
      </c>
    </row>
    <row r="8" spans="1:3">
      <c r="A8" t="s">
        <v>130</v>
      </c>
      <c r="B8" t="s">
        <v>235</v>
      </c>
      <c r="C8" t="s">
        <v>236</v>
      </c>
    </row>
    <row r="9" spans="1:3">
      <c r="A9" t="s">
        <v>130</v>
      </c>
      <c r="B9" t="s">
        <v>237</v>
      </c>
      <c r="C9" t="s">
        <v>238</v>
      </c>
    </row>
    <row r="10" spans="1:3">
      <c r="A10" t="s">
        <v>130</v>
      </c>
      <c r="B10" t="s">
        <v>239</v>
      </c>
      <c r="C10" t="s">
        <v>240</v>
      </c>
    </row>
    <row r="11" spans="1:3">
      <c r="A11" t="s">
        <v>130</v>
      </c>
      <c r="B11" t="s">
        <v>241</v>
      </c>
      <c r="C11" t="s">
        <v>242</v>
      </c>
    </row>
    <row r="12" spans="1:3">
      <c r="A12" t="s">
        <v>130</v>
      </c>
      <c r="B12" t="s">
        <v>243</v>
      </c>
      <c r="C12" t="s">
        <v>244</v>
      </c>
    </row>
    <row r="13" spans="1:3">
      <c r="A13" t="s">
        <v>130</v>
      </c>
      <c r="B13" t="s">
        <v>245</v>
      </c>
      <c r="C13" t="s">
        <v>246</v>
      </c>
    </row>
    <row r="14" spans="1:3">
      <c r="A14" t="s">
        <v>130</v>
      </c>
      <c r="B14" t="s">
        <v>247</v>
      </c>
      <c r="C14" t="s">
        <v>248</v>
      </c>
    </row>
    <row r="17" spans="1:3">
      <c r="A17" t="s">
        <v>129</v>
      </c>
      <c r="B17" t="s">
        <v>249</v>
      </c>
      <c r="C17" t="s">
        <v>128</v>
      </c>
    </row>
    <row r="18" spans="1:3">
      <c r="A18" t="s">
        <v>129</v>
      </c>
      <c r="B18" t="s">
        <v>250</v>
      </c>
      <c r="C18" t="s">
        <v>251</v>
      </c>
    </row>
    <row r="19" spans="1:3">
      <c r="A19" t="s">
        <v>129</v>
      </c>
      <c r="B19" t="s">
        <v>252</v>
      </c>
      <c r="C19" t="s">
        <v>253</v>
      </c>
    </row>
    <row r="20" spans="1:3">
      <c r="A20" t="s">
        <v>129</v>
      </c>
      <c r="B20" t="s">
        <v>254</v>
      </c>
      <c r="C20" t="s">
        <v>255</v>
      </c>
    </row>
    <row r="21" spans="1:3">
      <c r="A21" t="s">
        <v>129</v>
      </c>
      <c r="B21" t="s">
        <v>256</v>
      </c>
      <c r="C21" t="s">
        <v>257</v>
      </c>
    </row>
    <row r="22" spans="1:3">
      <c r="A22" t="s">
        <v>129</v>
      </c>
      <c r="B22" t="s">
        <v>258</v>
      </c>
      <c r="C22" t="s">
        <v>259</v>
      </c>
    </row>
    <row r="23" spans="1:3">
      <c r="A23" t="s">
        <v>129</v>
      </c>
      <c r="B23" t="s">
        <v>260</v>
      </c>
      <c r="C23" t="s">
        <v>261</v>
      </c>
    </row>
    <row r="24" spans="1:3">
      <c r="A24" t="s">
        <v>129</v>
      </c>
      <c r="B24" t="s">
        <v>262</v>
      </c>
      <c r="C24" t="s">
        <v>263</v>
      </c>
    </row>
    <row r="25" spans="1:3">
      <c r="A25" t="s">
        <v>129</v>
      </c>
      <c r="B25" t="s">
        <v>264</v>
      </c>
      <c r="C25" t="s">
        <v>265</v>
      </c>
    </row>
    <row r="26" spans="1:3">
      <c r="A26" t="s">
        <v>129</v>
      </c>
      <c r="B26" t="s">
        <v>266</v>
      </c>
      <c r="C26" t="s">
        <v>267</v>
      </c>
    </row>
    <row r="27" spans="1:3">
      <c r="A27" t="s">
        <v>129</v>
      </c>
      <c r="B27" t="s">
        <v>268</v>
      </c>
      <c r="C27" t="s">
        <v>269</v>
      </c>
    </row>
    <row r="28" spans="1:3">
      <c r="A28" t="s">
        <v>129</v>
      </c>
      <c r="B28" t="s">
        <v>270</v>
      </c>
      <c r="C28" t="s">
        <v>271</v>
      </c>
    </row>
    <row r="29" spans="1:3">
      <c r="A29" t="s">
        <v>129</v>
      </c>
      <c r="B29" t="s">
        <v>272</v>
      </c>
      <c r="C29" t="s">
        <v>273</v>
      </c>
    </row>
    <row r="30" spans="1:3">
      <c r="A30" t="s">
        <v>129</v>
      </c>
      <c r="B30" t="s">
        <v>274</v>
      </c>
      <c r="C30" t="s">
        <v>275</v>
      </c>
    </row>
    <row r="31" spans="1:3">
      <c r="A31" t="s">
        <v>129</v>
      </c>
      <c r="B31" t="s">
        <v>276</v>
      </c>
      <c r="C31" t="s">
        <v>277</v>
      </c>
    </row>
    <row r="32" spans="1:3">
      <c r="A32" t="s">
        <v>129</v>
      </c>
      <c r="B32" t="s">
        <v>278</v>
      </c>
      <c r="C32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6031-D95B-4FA6-A12B-292609FE3F36}">
  <dimension ref="A1:H110"/>
  <sheetViews>
    <sheetView workbookViewId="0">
      <selection sqref="A1:H1"/>
    </sheetView>
  </sheetViews>
  <sheetFormatPr defaultRowHeight="14.25"/>
  <cols>
    <col min="2" max="2" width="15.796875" bestFit="1" customWidth="1"/>
    <col min="3" max="4" width="10.59765625" customWidth="1"/>
    <col min="6" max="6" width="19.3984375" bestFit="1" customWidth="1"/>
    <col min="7" max="8" width="10.59765625" customWidth="1"/>
  </cols>
  <sheetData>
    <row r="1" spans="1:8" ht="22.05" customHeight="1">
      <c r="A1" s="18" t="s">
        <v>518</v>
      </c>
      <c r="B1" s="18"/>
      <c r="C1" s="18"/>
      <c r="D1" s="18"/>
      <c r="E1" s="18"/>
      <c r="F1" s="18"/>
      <c r="G1" s="18"/>
      <c r="H1" s="18"/>
    </row>
    <row r="9" spans="1:8" ht="14.65" thickBot="1">
      <c r="B9" s="8" t="s">
        <v>631</v>
      </c>
      <c r="F9" s="8" t="s">
        <v>631</v>
      </c>
    </row>
    <row r="10" spans="1:8" ht="15.75" thickBot="1">
      <c r="B10" s="9" t="s">
        <v>410</v>
      </c>
      <c r="C10" s="9" t="s">
        <v>632</v>
      </c>
      <c r="D10" s="9" t="s">
        <v>633</v>
      </c>
      <c r="F10" s="9" t="s">
        <v>410</v>
      </c>
      <c r="G10" s="9" t="s">
        <v>632</v>
      </c>
      <c r="H10" s="9" t="s">
        <v>633</v>
      </c>
    </row>
    <row r="11" spans="1:8">
      <c r="B11" s="10" t="s">
        <v>418</v>
      </c>
      <c r="C11" s="12">
        <v>52.9209925331145</v>
      </c>
      <c r="D11" s="16">
        <v>-0.2365005345670102</v>
      </c>
      <c r="F11" s="10" t="s">
        <v>634</v>
      </c>
      <c r="G11" s="12">
        <v>52.9209925331145</v>
      </c>
      <c r="H11" s="16">
        <v>-0.2365005345670102</v>
      </c>
    </row>
    <row r="12" spans="1:8">
      <c r="B12" s="13" t="s">
        <v>419</v>
      </c>
      <c r="C12" s="15">
        <v>51.440498299145609</v>
      </c>
      <c r="D12" s="17">
        <v>0.71615754360028872</v>
      </c>
      <c r="F12" s="13" t="s">
        <v>635</v>
      </c>
      <c r="G12" s="15">
        <v>51.440498299145609</v>
      </c>
      <c r="H12" s="17">
        <v>0.71615754360028872</v>
      </c>
    </row>
    <row r="13" spans="1:8">
      <c r="B13" s="10" t="s">
        <v>420</v>
      </c>
      <c r="C13" s="12">
        <v>57.218637114456293</v>
      </c>
      <c r="D13" s="16">
        <v>-2.3840214988351009</v>
      </c>
      <c r="F13" s="10" t="s">
        <v>636</v>
      </c>
      <c r="G13" s="12">
        <v>57.218637114456293</v>
      </c>
      <c r="H13" s="16">
        <v>-2.3840214988351009</v>
      </c>
    </row>
    <row r="14" spans="1:8">
      <c r="B14" s="13" t="s">
        <v>421</v>
      </c>
      <c r="C14" s="15">
        <v>58.479967903761491</v>
      </c>
      <c r="D14" s="17">
        <v>-3.4521849436940708</v>
      </c>
      <c r="F14" s="13" t="s">
        <v>637</v>
      </c>
      <c r="G14" s="15">
        <v>58.479967903761491</v>
      </c>
      <c r="H14" s="17">
        <v>-3.4521849436940708</v>
      </c>
    </row>
    <row r="15" spans="1:8">
      <c r="B15" s="10" t="s">
        <v>422</v>
      </c>
      <c r="C15" s="12">
        <v>54.843201485290322</v>
      </c>
      <c r="D15" s="16">
        <v>-5.7704690130982392</v>
      </c>
      <c r="F15" s="10" t="s">
        <v>638</v>
      </c>
      <c r="G15" s="12">
        <v>54.843201485290322</v>
      </c>
      <c r="H15" s="16">
        <v>-5.7704690130982392</v>
      </c>
    </row>
    <row r="16" spans="1:8">
      <c r="B16" s="13" t="s">
        <v>423</v>
      </c>
      <c r="C16" s="15">
        <v>55.069699109090998</v>
      </c>
      <c r="D16" s="17">
        <v>-4.9807507247075335</v>
      </c>
      <c r="F16" s="13" t="s">
        <v>639</v>
      </c>
      <c r="G16" s="15">
        <v>55.069699109090998</v>
      </c>
      <c r="H16" s="17">
        <v>-4.9807507247075335</v>
      </c>
    </row>
    <row r="17" spans="2:8">
      <c r="B17" s="10" t="s">
        <v>424</v>
      </c>
      <c r="C17" s="12">
        <v>55.903037773102128</v>
      </c>
      <c r="D17" s="16">
        <v>-4.2568057799358581</v>
      </c>
      <c r="F17" s="10" t="s">
        <v>640</v>
      </c>
      <c r="G17" s="12">
        <v>55.903037773102128</v>
      </c>
      <c r="H17" s="16">
        <v>-4.2568057799358581</v>
      </c>
    </row>
    <row r="18" spans="2:8">
      <c r="B18" s="13" t="s">
        <v>425</v>
      </c>
      <c r="C18" s="15">
        <v>54.369942938278029</v>
      </c>
      <c r="D18" s="17">
        <v>-6.4252938772591932</v>
      </c>
      <c r="F18" s="13" t="s">
        <v>641</v>
      </c>
      <c r="G18" s="15">
        <v>54.369942938278029</v>
      </c>
      <c r="H18" s="17">
        <v>-6.4252938772591932</v>
      </c>
    </row>
    <row r="19" spans="2:8">
      <c r="B19" s="10" t="s">
        <v>426</v>
      </c>
      <c r="C19" s="12">
        <v>52.071398122643167</v>
      </c>
      <c r="D19" s="16">
        <v>1.0618678452808807</v>
      </c>
      <c r="F19" s="10" t="s">
        <v>642</v>
      </c>
      <c r="G19" s="12">
        <v>52.071398122643167</v>
      </c>
      <c r="H19" s="16">
        <v>1.0618678452808807</v>
      </c>
    </row>
    <row r="20" spans="2:8">
      <c r="B20" s="13" t="s">
        <v>427</v>
      </c>
      <c r="C20" s="15">
        <v>55.718036768358985</v>
      </c>
      <c r="D20" s="17">
        <v>-4.8948211898549143</v>
      </c>
      <c r="F20" s="13" t="s">
        <v>643</v>
      </c>
      <c r="G20" s="15">
        <v>55.718036768358985</v>
      </c>
      <c r="H20" s="17">
        <v>-4.8948211898549143</v>
      </c>
    </row>
    <row r="21" spans="2:8">
      <c r="B21" s="10" t="s">
        <v>428</v>
      </c>
      <c r="C21" s="12">
        <v>51.33629200924365</v>
      </c>
      <c r="D21" s="16">
        <v>-1.0772802749418151</v>
      </c>
      <c r="F21" s="10" t="s">
        <v>644</v>
      </c>
      <c r="G21" s="12">
        <v>51.33629200924365</v>
      </c>
      <c r="H21" s="16">
        <v>-1.0772802749418151</v>
      </c>
    </row>
    <row r="22" spans="2:8">
      <c r="B22" s="13" t="s">
        <v>429</v>
      </c>
      <c r="C22" s="15">
        <v>50.444877580906933</v>
      </c>
      <c r="D22" s="17">
        <v>-4.2425352137275238</v>
      </c>
      <c r="F22" s="13" t="s">
        <v>645</v>
      </c>
      <c r="G22" s="15">
        <v>50.444877580906933</v>
      </c>
      <c r="H22" s="17">
        <v>-4.2425352137275238</v>
      </c>
    </row>
    <row r="23" spans="2:8">
      <c r="B23" s="10" t="s">
        <v>430</v>
      </c>
      <c r="C23" s="12">
        <v>53.230462688056122</v>
      </c>
      <c r="D23" s="16">
        <v>-3.0325941174955027</v>
      </c>
      <c r="F23" s="10" t="s">
        <v>646</v>
      </c>
      <c r="G23" s="12">
        <v>53.230462688056122</v>
      </c>
      <c r="H23" s="16">
        <v>-3.0325941174955027</v>
      </c>
    </row>
    <row r="24" spans="2:8">
      <c r="B24" s="13" t="s">
        <v>431</v>
      </c>
      <c r="C24" s="15">
        <v>55.042275305395023</v>
      </c>
      <c r="D24" s="17">
        <v>-7.2482643599677097</v>
      </c>
      <c r="F24" s="13" t="s">
        <v>647</v>
      </c>
      <c r="G24" s="15">
        <v>55.042275305395023</v>
      </c>
      <c r="H24" s="17">
        <v>-7.2482643599677097</v>
      </c>
    </row>
    <row r="25" spans="2:8">
      <c r="B25" s="10" t="s">
        <v>432</v>
      </c>
      <c r="C25" s="12">
        <v>57.521174967011859</v>
      </c>
      <c r="D25" s="16">
        <v>-2.9504139962807976</v>
      </c>
      <c r="F25" s="10" t="s">
        <v>648</v>
      </c>
      <c r="G25" s="12">
        <v>57.521174967011859</v>
      </c>
      <c r="H25" s="16">
        <v>-2.9504139962807976</v>
      </c>
    </row>
    <row r="26" spans="2:8">
      <c r="B26" s="13" t="s">
        <v>433</v>
      </c>
      <c r="C26" s="15">
        <v>50.818035638860259</v>
      </c>
      <c r="D26" s="17">
        <v>-1.194439480272105</v>
      </c>
      <c r="F26" s="13" t="s">
        <v>649</v>
      </c>
      <c r="G26" s="15">
        <v>50.818035638860259</v>
      </c>
      <c r="H26" s="17">
        <v>-1.194439480272105</v>
      </c>
    </row>
    <row r="27" spans="2:8">
      <c r="B27" s="10" t="s">
        <v>434</v>
      </c>
      <c r="C27" s="12">
        <v>55.146475961917993</v>
      </c>
      <c r="D27" s="16">
        <v>-1.5404269162550226</v>
      </c>
      <c r="F27" s="10" t="s">
        <v>650</v>
      </c>
      <c r="G27" s="12">
        <v>55.146475961917993</v>
      </c>
      <c r="H27" s="16">
        <v>-1.5404269162550226</v>
      </c>
    </row>
    <row r="28" spans="2:8">
      <c r="B28" s="13" t="s">
        <v>435</v>
      </c>
      <c r="C28" s="15">
        <v>51.09844688040387</v>
      </c>
      <c r="D28" s="17">
        <v>1.1448358124246545</v>
      </c>
      <c r="F28" s="13" t="s">
        <v>651</v>
      </c>
      <c r="G28" s="15">
        <v>51.09844688040387</v>
      </c>
      <c r="H28" s="17">
        <v>1.1448358124246545</v>
      </c>
    </row>
    <row r="29" spans="2:8">
      <c r="B29" s="10" t="s">
        <v>436</v>
      </c>
      <c r="C29" s="12">
        <v>53.426118697614022</v>
      </c>
      <c r="D29" s="16">
        <v>-2.3791827939912915</v>
      </c>
      <c r="F29" s="10" t="s">
        <v>652</v>
      </c>
      <c r="G29" s="12">
        <v>53.426118697614022</v>
      </c>
      <c r="H29" s="16">
        <v>-2.3791827939912915</v>
      </c>
    </row>
    <row r="30" spans="2:8">
      <c r="B30" s="13" t="s">
        <v>437</v>
      </c>
      <c r="C30" s="15">
        <v>54.032540877565616</v>
      </c>
      <c r="D30" s="17">
        <v>-2.8906542951356453</v>
      </c>
      <c r="F30" s="13" t="s">
        <v>653</v>
      </c>
      <c r="G30" s="15">
        <v>54.032540877565616</v>
      </c>
      <c r="H30" s="17">
        <v>-2.8906542951356453</v>
      </c>
    </row>
    <row r="31" spans="2:8">
      <c r="B31" s="10" t="s">
        <v>438</v>
      </c>
      <c r="C31" s="12">
        <v>51.63586780587152</v>
      </c>
      <c r="D31" s="16">
        <v>-3.3003748822682115</v>
      </c>
      <c r="F31" s="10" t="s">
        <v>654</v>
      </c>
      <c r="G31" s="12">
        <v>51.63586780587152</v>
      </c>
      <c r="H31" s="16">
        <v>-3.3003748822682115</v>
      </c>
    </row>
    <row r="32" spans="2:8">
      <c r="B32" s="13" t="s">
        <v>439</v>
      </c>
      <c r="C32" s="15">
        <v>60.29340062591924</v>
      </c>
      <c r="D32" s="17">
        <v>-1.2719451172071998</v>
      </c>
      <c r="F32" s="13" t="s">
        <v>655</v>
      </c>
      <c r="G32" s="15">
        <v>60.29340062591924</v>
      </c>
      <c r="H32" s="17">
        <v>-1.2719451172071998</v>
      </c>
    </row>
    <row r="33" spans="2:8">
      <c r="B33" s="10" t="s">
        <v>440</v>
      </c>
      <c r="C33" s="12">
        <v>53.038917107177511</v>
      </c>
      <c r="D33" s="16">
        <v>-0.3410822061654773</v>
      </c>
      <c r="F33" s="10" t="s">
        <v>656</v>
      </c>
      <c r="G33" s="12">
        <v>53.038917107177511</v>
      </c>
      <c r="H33" s="16">
        <v>-0.3410822061654773</v>
      </c>
    </row>
    <row r="34" spans="2:8">
      <c r="B34" s="13" t="s">
        <v>441</v>
      </c>
      <c r="C34" s="15">
        <v>51.143917811351479</v>
      </c>
      <c r="D34" s="17">
        <v>-2.3431483349967801E-2</v>
      </c>
      <c r="F34" s="13" t="s">
        <v>657</v>
      </c>
      <c r="G34" s="15">
        <v>51.143917811351479</v>
      </c>
      <c r="H34" s="17">
        <v>-2.3431483349967801E-2</v>
      </c>
    </row>
    <row r="35" spans="2:8">
      <c r="B35" s="10" t="s">
        <v>442</v>
      </c>
      <c r="C35" s="12">
        <v>57.093262090285563</v>
      </c>
      <c r="D35" s="16">
        <v>-2.5232528349366881</v>
      </c>
      <c r="F35" s="10" t="s">
        <v>658</v>
      </c>
      <c r="G35" s="12">
        <v>57.093262090285563</v>
      </c>
      <c r="H35" s="16">
        <v>-2.5232528349366881</v>
      </c>
    </row>
    <row r="36" spans="2:8">
      <c r="B36" s="13" t="s">
        <v>443</v>
      </c>
      <c r="C36" s="15">
        <v>58.373636807147314</v>
      </c>
      <c r="D36" s="17">
        <v>-4.2141442575914017</v>
      </c>
      <c r="F36" s="13" t="s">
        <v>659</v>
      </c>
      <c r="G36" s="15">
        <v>58.373636807147314</v>
      </c>
      <c r="H36" s="17">
        <v>-4.2141442575914017</v>
      </c>
    </row>
    <row r="37" spans="2:8">
      <c r="B37" s="10" t="s">
        <v>444</v>
      </c>
      <c r="C37" s="12">
        <v>54.347019454413221</v>
      </c>
      <c r="D37" s="16">
        <v>-5.6140842049029356</v>
      </c>
      <c r="F37" s="10" t="s">
        <v>660</v>
      </c>
      <c r="G37" s="12">
        <v>54.347019454413221</v>
      </c>
      <c r="H37" s="16">
        <v>-5.6140842049029356</v>
      </c>
    </row>
    <row r="38" spans="2:8">
      <c r="B38" s="13" t="s">
        <v>445</v>
      </c>
      <c r="C38" s="15">
        <v>54.822601027327892</v>
      </c>
      <c r="D38" s="17">
        <v>-4.4481505781852375</v>
      </c>
      <c r="F38" s="13" t="s">
        <v>661</v>
      </c>
      <c r="G38" s="15">
        <v>54.822601027327892</v>
      </c>
      <c r="H38" s="17">
        <v>-4.4481505781852375</v>
      </c>
    </row>
    <row r="39" spans="2:8">
      <c r="B39" s="10" t="s">
        <v>446</v>
      </c>
      <c r="C39" s="12">
        <v>55.708786749392658</v>
      </c>
      <c r="D39" s="16">
        <v>-3.8921469504311879</v>
      </c>
      <c r="F39" s="10" t="s">
        <v>662</v>
      </c>
      <c r="G39" s="12">
        <v>55.708786749392658</v>
      </c>
      <c r="H39" s="16">
        <v>-3.8921469504311879</v>
      </c>
    </row>
    <row r="40" spans="2:8">
      <c r="B40" s="13" t="s">
        <v>447</v>
      </c>
      <c r="C40" s="15">
        <v>54.287183398530942</v>
      </c>
      <c r="D40" s="17">
        <v>-6.7091104026410671</v>
      </c>
      <c r="F40" s="13" t="s">
        <v>663</v>
      </c>
      <c r="G40" s="15">
        <v>54.287183398530942</v>
      </c>
      <c r="H40" s="17">
        <v>-6.7091104026410671</v>
      </c>
    </row>
    <row r="41" spans="2:8">
      <c r="B41" s="10" t="s">
        <v>448</v>
      </c>
      <c r="C41" s="12">
        <v>52.323548636033003</v>
      </c>
      <c r="D41" s="16">
        <v>1.1412878336402337</v>
      </c>
      <c r="F41" s="10" t="s">
        <v>664</v>
      </c>
      <c r="G41" s="12">
        <v>52.323548636033003</v>
      </c>
      <c r="H41" s="16">
        <v>1.1412878336402337</v>
      </c>
    </row>
    <row r="42" spans="2:8">
      <c r="B42" s="13" t="s">
        <v>449</v>
      </c>
      <c r="C42" s="15">
        <v>56.205698630211664</v>
      </c>
      <c r="D42" s="17">
        <v>-5.2497634032641649</v>
      </c>
      <c r="F42" s="13" t="s">
        <v>665</v>
      </c>
      <c r="G42" s="15">
        <v>56.205698630211664</v>
      </c>
      <c r="H42" s="17">
        <v>-5.2497634032641649</v>
      </c>
    </row>
    <row r="43" spans="2:8">
      <c r="B43" s="10" t="s">
        <v>450</v>
      </c>
      <c r="C43" s="12">
        <v>51.310454503539631</v>
      </c>
      <c r="D43" s="16">
        <v>-0.7222630735440887</v>
      </c>
      <c r="F43" s="10" t="s">
        <v>666</v>
      </c>
      <c r="G43" s="12">
        <v>51.310454503539631</v>
      </c>
      <c r="H43" s="16">
        <v>-0.7222630735440887</v>
      </c>
    </row>
    <row r="44" spans="2:8">
      <c r="B44" s="13" t="s">
        <v>451</v>
      </c>
      <c r="C44" s="15">
        <v>50.878494824046953</v>
      </c>
      <c r="D44" s="17">
        <v>-4.2708640455903701</v>
      </c>
      <c r="F44" s="13" t="s">
        <v>667</v>
      </c>
      <c r="G44" s="15">
        <v>50.878494824046953</v>
      </c>
      <c r="H44" s="17">
        <v>-4.2708640455903701</v>
      </c>
    </row>
    <row r="45" spans="2:8">
      <c r="B45" s="10" t="s">
        <v>452</v>
      </c>
      <c r="C45" s="12">
        <v>52.980289393867913</v>
      </c>
      <c r="D45" s="16">
        <v>-3.3994948133560841</v>
      </c>
      <c r="F45" s="10" t="s">
        <v>668</v>
      </c>
      <c r="G45" s="12">
        <v>52.980289393867913</v>
      </c>
      <c r="H45" s="16">
        <v>-3.3994948133560841</v>
      </c>
    </row>
    <row r="46" spans="2:8">
      <c r="B46" s="13" t="s">
        <v>453</v>
      </c>
      <c r="C46" s="15">
        <v>54.765248970921554</v>
      </c>
      <c r="D46" s="17">
        <v>-7.5143916046405916</v>
      </c>
      <c r="F46" s="13" t="s">
        <v>669</v>
      </c>
      <c r="G46" s="15">
        <v>54.765248970921554</v>
      </c>
      <c r="H46" s="17">
        <v>-7.5143916046405916</v>
      </c>
    </row>
    <row r="47" spans="2:8">
      <c r="B47" s="10" t="s">
        <v>454</v>
      </c>
      <c r="C47" s="12">
        <v>57.419319119481095</v>
      </c>
      <c r="D47" s="16">
        <v>-3.208753227149888</v>
      </c>
      <c r="F47" s="10" t="s">
        <v>670</v>
      </c>
      <c r="G47" s="12">
        <v>57.419319119481095</v>
      </c>
      <c r="H47" s="16">
        <v>-3.208753227149888</v>
      </c>
    </row>
    <row r="48" spans="2:8">
      <c r="B48" s="13" t="s">
        <v>455</v>
      </c>
      <c r="C48" s="15">
        <v>50.862153044980616</v>
      </c>
      <c r="D48" s="17">
        <v>-1.5958025612867399</v>
      </c>
      <c r="F48" s="13" t="s">
        <v>671</v>
      </c>
      <c r="G48" s="15">
        <v>50.862153044980616</v>
      </c>
      <c r="H48" s="17">
        <v>-1.5958025612867399</v>
      </c>
    </row>
    <row r="49" spans="2:8">
      <c r="B49" s="10" t="s">
        <v>456</v>
      </c>
      <c r="C49" s="12">
        <v>55.193348975440287</v>
      </c>
      <c r="D49" s="16">
        <v>-2.1814865240931307</v>
      </c>
      <c r="F49" s="10" t="s">
        <v>672</v>
      </c>
      <c r="G49" s="12">
        <v>55.193348975440287</v>
      </c>
      <c r="H49" s="16">
        <v>-2.1814865240931307</v>
      </c>
    </row>
    <row r="50" spans="2:8">
      <c r="B50" s="13" t="s">
        <v>457</v>
      </c>
      <c r="C50" s="15">
        <v>51.199398181377319</v>
      </c>
      <c r="D50" s="17">
        <v>1.374231697038274</v>
      </c>
      <c r="F50" s="13" t="s">
        <v>673</v>
      </c>
      <c r="G50" s="15">
        <v>51.199398181377319</v>
      </c>
      <c r="H50" s="17">
        <v>1.374231697038274</v>
      </c>
    </row>
    <row r="51" spans="2:8">
      <c r="B51" s="10" t="s">
        <v>458</v>
      </c>
      <c r="C51" s="12">
        <v>53.336664053516671</v>
      </c>
      <c r="D51" s="16">
        <v>-1.9902105703457831</v>
      </c>
      <c r="F51" s="10" t="s">
        <v>674</v>
      </c>
      <c r="G51" s="12">
        <v>53.336664053516671</v>
      </c>
      <c r="H51" s="16">
        <v>-1.9902105703457831</v>
      </c>
    </row>
    <row r="52" spans="2:8">
      <c r="B52" s="13" t="s">
        <v>459</v>
      </c>
      <c r="C52" s="15">
        <v>54.578983170592224</v>
      </c>
      <c r="D52" s="17">
        <v>-2.8601730175212361</v>
      </c>
      <c r="F52" s="13" t="s">
        <v>675</v>
      </c>
      <c r="G52" s="15">
        <v>54.578983170592224</v>
      </c>
      <c r="H52" s="17">
        <v>-2.8601730175212361</v>
      </c>
    </row>
    <row r="53" spans="2:8">
      <c r="B53" s="10" t="s">
        <v>460</v>
      </c>
      <c r="C53" s="12">
        <v>51.675351290244777</v>
      </c>
      <c r="D53" s="16">
        <v>-3.535214779237704</v>
      </c>
      <c r="F53" s="10" t="s">
        <v>676</v>
      </c>
      <c r="G53" s="12">
        <v>51.675351290244777</v>
      </c>
      <c r="H53" s="16">
        <v>-3.535214779237704</v>
      </c>
    </row>
    <row r="54" spans="2:8">
      <c r="B54" s="13" t="s">
        <v>461</v>
      </c>
      <c r="C54" s="15">
        <v>59.723624540259372</v>
      </c>
      <c r="D54" s="17">
        <v>-1.451115994979703</v>
      </c>
      <c r="F54" s="13" t="s">
        <v>677</v>
      </c>
      <c r="G54" s="15">
        <v>59.723624540259372</v>
      </c>
      <c r="H54" s="17">
        <v>-1.451115994979703</v>
      </c>
    </row>
    <row r="55" spans="2:8">
      <c r="B55" s="10" t="s">
        <v>462</v>
      </c>
      <c r="C55" s="12">
        <v>52.632622858470427</v>
      </c>
      <c r="D55" s="16">
        <v>-1.2781038076584772</v>
      </c>
      <c r="F55" s="10" t="s">
        <v>678</v>
      </c>
      <c r="G55" s="12">
        <v>52.632622858470427</v>
      </c>
      <c r="H55" s="16">
        <v>-1.2781038076584772</v>
      </c>
    </row>
    <row r="56" spans="2:8">
      <c r="B56" s="13" t="s">
        <v>463</v>
      </c>
      <c r="C56" s="15">
        <v>51.110333216251121</v>
      </c>
      <c r="D56" s="17">
        <v>0.1107418839262356</v>
      </c>
      <c r="F56" s="13" t="s">
        <v>679</v>
      </c>
      <c r="G56" s="15">
        <v>51.110333216251121</v>
      </c>
      <c r="H56" s="17">
        <v>0.1107418839262356</v>
      </c>
    </row>
    <row r="57" spans="2:8">
      <c r="B57" s="10" t="s">
        <v>464</v>
      </c>
      <c r="C57" s="12">
        <v>57.004971725350529</v>
      </c>
      <c r="D57" s="16">
        <v>-2.8068249853750862</v>
      </c>
      <c r="F57" s="10" t="s">
        <v>680</v>
      </c>
      <c r="G57" s="12">
        <v>57.004971725350529</v>
      </c>
      <c r="H57" s="16">
        <v>-2.8068249853750862</v>
      </c>
    </row>
    <row r="58" spans="2:8">
      <c r="B58" s="13" t="s">
        <v>465</v>
      </c>
      <c r="C58" s="15">
        <v>58.234249200738851</v>
      </c>
      <c r="D58" s="17">
        <v>-4.4461967194413763</v>
      </c>
      <c r="F58" s="13" t="s">
        <v>681</v>
      </c>
      <c r="G58" s="15">
        <v>58.234249200738851</v>
      </c>
      <c r="H58" s="17">
        <v>-4.4461967194413763</v>
      </c>
    </row>
    <row r="59" spans="2:8">
      <c r="B59" s="10" t="s">
        <v>466</v>
      </c>
      <c r="C59" s="12">
        <v>54.731967067718543</v>
      </c>
      <c r="D59" s="16">
        <v>-5.8267194675151348</v>
      </c>
      <c r="F59" s="10" t="s">
        <v>682</v>
      </c>
      <c r="G59" s="12">
        <v>54.731967067718543</v>
      </c>
      <c r="H59" s="16">
        <v>-5.8267194675151348</v>
      </c>
    </row>
    <row r="60" spans="2:8">
      <c r="B60" s="13" t="s">
        <v>467</v>
      </c>
      <c r="C60" s="15">
        <v>54.796679636275485</v>
      </c>
      <c r="D60" s="17">
        <v>-4.2817399557237774</v>
      </c>
      <c r="F60" s="13" t="s">
        <v>683</v>
      </c>
      <c r="G60" s="15">
        <v>54.796679636275485</v>
      </c>
      <c r="H60" s="17">
        <v>-4.2817399557237774</v>
      </c>
    </row>
    <row r="61" spans="2:8">
      <c r="B61" s="10" t="s">
        <v>468</v>
      </c>
      <c r="C61" s="12">
        <v>56.290296837859714</v>
      </c>
      <c r="D61" s="16">
        <v>-4.0427361839525524</v>
      </c>
      <c r="F61" s="10" t="s">
        <v>684</v>
      </c>
      <c r="G61" s="12">
        <v>56.290296837859714</v>
      </c>
      <c r="H61" s="16">
        <v>-4.0427361839525524</v>
      </c>
    </row>
    <row r="62" spans="2:8">
      <c r="B62" s="13" t="s">
        <v>469</v>
      </c>
      <c r="C62" s="15">
        <v>54.287869599609365</v>
      </c>
      <c r="D62" s="17">
        <v>-6.6943288830126901</v>
      </c>
      <c r="F62" s="13" t="s">
        <v>685</v>
      </c>
      <c r="G62" s="15">
        <v>54.287869599609365</v>
      </c>
      <c r="H62" s="17">
        <v>-6.6943288830126901</v>
      </c>
    </row>
    <row r="63" spans="2:8">
      <c r="B63" s="10" t="s">
        <v>470</v>
      </c>
      <c r="C63" s="12">
        <v>52.494027209294771</v>
      </c>
      <c r="D63" s="16">
        <v>0.96799626915222281</v>
      </c>
      <c r="F63" s="10" t="s">
        <v>686</v>
      </c>
      <c r="G63" s="12">
        <v>52.494027209294771</v>
      </c>
      <c r="H63" s="16">
        <v>0.96799626915222281</v>
      </c>
    </row>
    <row r="64" spans="2:8">
      <c r="B64" s="13" t="s">
        <v>471</v>
      </c>
      <c r="C64" s="15">
        <v>56.837663548403157</v>
      </c>
      <c r="D64" s="17">
        <v>-5.5079243212541273</v>
      </c>
      <c r="F64" s="13" t="s">
        <v>687</v>
      </c>
      <c r="G64" s="15">
        <v>56.837663548403157</v>
      </c>
      <c r="H64" s="17">
        <v>-5.5079243212541273</v>
      </c>
    </row>
    <row r="65" spans="2:8">
      <c r="B65" s="10" t="s">
        <v>472</v>
      </c>
      <c r="C65" s="12">
        <v>51.538264773168947</v>
      </c>
      <c r="D65" s="16">
        <v>-1.4254201049587829</v>
      </c>
      <c r="F65" s="10" t="s">
        <v>688</v>
      </c>
      <c r="G65" s="12">
        <v>51.538264773168947</v>
      </c>
      <c r="H65" s="16">
        <v>-1.4254201049587829</v>
      </c>
    </row>
    <row r="66" spans="2:8">
      <c r="B66" s="13" t="s">
        <v>473</v>
      </c>
      <c r="C66" s="15">
        <v>50.850948852411605</v>
      </c>
      <c r="D66" s="17">
        <v>-4.1763654025019967</v>
      </c>
      <c r="F66" s="13" t="s">
        <v>689</v>
      </c>
      <c r="G66" s="15">
        <v>50.850948852411605</v>
      </c>
      <c r="H66" s="17">
        <v>-4.1763654025019967</v>
      </c>
    </row>
    <row r="67" spans="2:8">
      <c r="B67" s="10" t="s">
        <v>474</v>
      </c>
      <c r="C67" s="12">
        <v>52.838147805137353</v>
      </c>
      <c r="D67" s="16">
        <v>-3.4447355120801344</v>
      </c>
      <c r="F67" s="10" t="s">
        <v>690</v>
      </c>
      <c r="G67" s="12">
        <v>52.838147805137353</v>
      </c>
      <c r="H67" s="16">
        <v>-3.4447355120801344</v>
      </c>
    </row>
    <row r="68" spans="2:8">
      <c r="B68" s="13" t="s">
        <v>475</v>
      </c>
      <c r="C68" s="15">
        <v>54.796679636275485</v>
      </c>
      <c r="D68" s="17">
        <v>-7.0117473852911782</v>
      </c>
      <c r="F68" s="13" t="s">
        <v>691</v>
      </c>
      <c r="G68" s="15">
        <v>54.796679636275485</v>
      </c>
      <c r="H68" s="17">
        <v>-7.0117473852911782</v>
      </c>
    </row>
    <row r="69" spans="2:8">
      <c r="B69" s="10" t="s">
        <v>476</v>
      </c>
      <c r="C69" s="12">
        <v>57.128387892170863</v>
      </c>
      <c r="D69" s="16">
        <v>-3.4693324412174524</v>
      </c>
      <c r="F69" s="10" t="s">
        <v>692</v>
      </c>
      <c r="G69" s="12">
        <v>57.128387892170863</v>
      </c>
      <c r="H69" s="16">
        <v>-3.4693324412174524</v>
      </c>
    </row>
    <row r="70" spans="2:8">
      <c r="B70" s="13" t="s">
        <v>477</v>
      </c>
      <c r="C70" s="15">
        <v>51.041494734923411</v>
      </c>
      <c r="D70" s="17">
        <v>-1.9799389644098624</v>
      </c>
      <c r="F70" s="13" t="s">
        <v>693</v>
      </c>
      <c r="G70" s="15">
        <v>51.041494734923411</v>
      </c>
      <c r="H70" s="17">
        <v>-1.9799389644098624</v>
      </c>
    </row>
    <row r="71" spans="2:8">
      <c r="B71" s="10" t="s">
        <v>478</v>
      </c>
      <c r="C71" s="12">
        <v>55.146391353555458</v>
      </c>
      <c r="D71" s="16">
        <v>-2.1874266924351331</v>
      </c>
      <c r="F71" s="10" t="s">
        <v>694</v>
      </c>
      <c r="G71" s="12">
        <v>55.146391353555458</v>
      </c>
      <c r="H71" s="16">
        <v>-2.1874266924351331</v>
      </c>
    </row>
    <row r="72" spans="2:8">
      <c r="B72" s="13" t="s">
        <v>479</v>
      </c>
      <c r="C72" s="15">
        <v>51.199398181377319</v>
      </c>
      <c r="D72" s="17">
        <v>1.374231697038274</v>
      </c>
      <c r="F72" s="13" t="s">
        <v>695</v>
      </c>
      <c r="G72" s="15">
        <v>51.199398181377319</v>
      </c>
      <c r="H72" s="17">
        <v>1.374231697038274</v>
      </c>
    </row>
    <row r="73" spans="2:8">
      <c r="B73" s="10" t="s">
        <v>480</v>
      </c>
      <c r="C73" s="12">
        <v>53.507231047946433</v>
      </c>
      <c r="D73" s="16">
        <v>-2.0209792714786743</v>
      </c>
      <c r="F73" s="10" t="s">
        <v>696</v>
      </c>
      <c r="G73" s="12">
        <v>53.507231047946433</v>
      </c>
      <c r="H73" s="16">
        <v>-2.0209792714786743</v>
      </c>
    </row>
    <row r="74" spans="2:8">
      <c r="B74" s="13" t="s">
        <v>481</v>
      </c>
      <c r="C74" s="15">
        <v>54.561273298527006</v>
      </c>
      <c r="D74" s="17">
        <v>-2.7161383334977853</v>
      </c>
      <c r="F74" s="13" t="s">
        <v>697</v>
      </c>
      <c r="G74" s="15">
        <v>54.561273298527006</v>
      </c>
      <c r="H74" s="17">
        <v>-2.7161383334977853</v>
      </c>
    </row>
    <row r="75" spans="2:8">
      <c r="B75" s="10" t="s">
        <v>482</v>
      </c>
      <c r="C75" s="12">
        <v>51.821170513704779</v>
      </c>
      <c r="D75" s="16">
        <v>-3.6343698999168943</v>
      </c>
      <c r="F75" s="10" t="s">
        <v>698</v>
      </c>
      <c r="G75" s="12">
        <v>51.821170513704779</v>
      </c>
      <c r="H75" s="16">
        <v>-3.6343698999168943</v>
      </c>
    </row>
    <row r="76" spans="2:8">
      <c r="B76" s="13" t="s">
        <v>483</v>
      </c>
      <c r="C76" s="15">
        <v>60.192601818622734</v>
      </c>
      <c r="D76" s="17">
        <v>-1.4210946637382096</v>
      </c>
      <c r="F76" s="13" t="s">
        <v>699</v>
      </c>
      <c r="G76" s="15">
        <v>60.192601818622734</v>
      </c>
      <c r="H76" s="17">
        <v>-1.4210946637382096</v>
      </c>
    </row>
    <row r="77" spans="2:8">
      <c r="B77" s="10" t="s">
        <v>484</v>
      </c>
      <c r="C77" s="12">
        <v>54.742129982021197</v>
      </c>
      <c r="D77" s="16">
        <v>0.79478093636693947</v>
      </c>
      <c r="F77" s="10" t="s">
        <v>700</v>
      </c>
      <c r="G77" s="12">
        <v>54.742129982021197</v>
      </c>
      <c r="H77" s="16">
        <v>0.79478093636693947</v>
      </c>
    </row>
    <row r="78" spans="2:8">
      <c r="B78" s="13" t="s">
        <v>485</v>
      </c>
      <c r="C78" s="15">
        <v>50.490531015689733</v>
      </c>
      <c r="D78" s="17">
        <v>0.2481345936549183</v>
      </c>
      <c r="F78" s="13" t="s">
        <v>701</v>
      </c>
      <c r="G78" s="15">
        <v>50.490531015689733</v>
      </c>
      <c r="H78" s="17">
        <v>0.2481345936549183</v>
      </c>
    </row>
    <row r="79" spans="2:8">
      <c r="B79" s="10" t="s">
        <v>486</v>
      </c>
      <c r="C79" s="12">
        <v>56.391936412817536</v>
      </c>
      <c r="D79" s="16">
        <v>-2.1567635862030738</v>
      </c>
      <c r="F79" s="10" t="s">
        <v>702</v>
      </c>
      <c r="G79" s="12">
        <v>56.391936412817536</v>
      </c>
      <c r="H79" s="16">
        <v>-2.1567635862030738</v>
      </c>
    </row>
    <row r="80" spans="2:8">
      <c r="B80" s="13" t="s">
        <v>487</v>
      </c>
      <c r="C80" s="15">
        <v>57.61252517032991</v>
      </c>
      <c r="D80" s="17">
        <v>-0.83231033931115406</v>
      </c>
      <c r="F80" s="13" t="s">
        <v>703</v>
      </c>
      <c r="G80" s="15">
        <v>57.61252517032991</v>
      </c>
      <c r="H80" s="17">
        <v>-0.83231033931115406</v>
      </c>
    </row>
    <row r="81" spans="2:8">
      <c r="B81" s="10" t="s">
        <v>488</v>
      </c>
      <c r="C81" s="12">
        <v>58.708341679719318</v>
      </c>
      <c r="D81" s="16">
        <v>-3.1679911609469085</v>
      </c>
      <c r="F81" s="10" t="s">
        <v>704</v>
      </c>
      <c r="G81" s="12">
        <v>58.708341679719318</v>
      </c>
      <c r="H81" s="16">
        <v>-3.1679911609469085</v>
      </c>
    </row>
    <row r="82" spans="2:8">
      <c r="B82" s="13" t="s">
        <v>489</v>
      </c>
      <c r="C82" s="15">
        <v>59.916231637187657</v>
      </c>
      <c r="D82" s="17">
        <v>-3.8243266790634518</v>
      </c>
      <c r="F82" s="13" t="s">
        <v>705</v>
      </c>
      <c r="G82" s="15">
        <v>59.916231637187657</v>
      </c>
      <c r="H82" s="17">
        <v>-3.8243266790634518</v>
      </c>
    </row>
    <row r="83" spans="2:8">
      <c r="B83" s="10" t="s">
        <v>490</v>
      </c>
      <c r="C83" s="12">
        <v>59.386513316209744</v>
      </c>
      <c r="D83" s="16">
        <v>-5.986544496680442</v>
      </c>
      <c r="F83" s="10" t="s">
        <v>706</v>
      </c>
      <c r="G83" s="12">
        <v>59.386513316209744</v>
      </c>
      <c r="H83" s="16">
        <v>-5.986544496680442</v>
      </c>
    </row>
    <row r="84" spans="2:8">
      <c r="B84" s="13" t="s">
        <v>491</v>
      </c>
      <c r="C84" s="15">
        <v>54.690214321405527</v>
      </c>
      <c r="D84" s="17">
        <v>-5.695285198871356</v>
      </c>
      <c r="F84" s="13" t="s">
        <v>707</v>
      </c>
      <c r="G84" s="15">
        <v>54.690214321405527</v>
      </c>
      <c r="H84" s="17">
        <v>-5.695285198871356</v>
      </c>
    </row>
    <row r="85" spans="2:8">
      <c r="B85" s="10" t="s">
        <v>492</v>
      </c>
      <c r="C85" s="12">
        <v>54.375760811108691</v>
      </c>
      <c r="D85" s="16">
        <v>-5.0702731706460069</v>
      </c>
      <c r="F85" s="10" t="s">
        <v>708</v>
      </c>
      <c r="G85" s="12">
        <v>54.375760811108691</v>
      </c>
      <c r="H85" s="16">
        <v>-5.0702731706460069</v>
      </c>
    </row>
    <row r="86" spans="2:8">
      <c r="B86" s="13" t="s">
        <v>493</v>
      </c>
      <c r="C86" s="15">
        <v>55.886324015627217</v>
      </c>
      <c r="D86" s="17">
        <v>-3.0833660261629943</v>
      </c>
      <c r="F86" s="13" t="s">
        <v>709</v>
      </c>
      <c r="G86" s="15">
        <v>55.886324015627217</v>
      </c>
      <c r="H86" s="17">
        <v>-3.0833660261629943</v>
      </c>
    </row>
    <row r="87" spans="2:8">
      <c r="B87" s="10" t="s">
        <v>494</v>
      </c>
      <c r="C87" s="12">
        <v>52.670833406386798</v>
      </c>
      <c r="D87" s="16">
        <v>-5.7723020929345257</v>
      </c>
      <c r="F87" s="10" t="s">
        <v>710</v>
      </c>
      <c r="G87" s="12">
        <v>52.670833406386798</v>
      </c>
      <c r="H87" s="16">
        <v>-5.7723020929345257</v>
      </c>
    </row>
    <row r="88" spans="2:8">
      <c r="B88" s="13" t="s">
        <v>495</v>
      </c>
      <c r="C88" s="15">
        <v>53.913587431717851</v>
      </c>
      <c r="D88" s="17">
        <v>2.4575798388910801</v>
      </c>
      <c r="F88" s="13" t="s">
        <v>711</v>
      </c>
      <c r="G88" s="15">
        <v>53.913587431717851</v>
      </c>
      <c r="H88" s="17">
        <v>2.4575798388910801</v>
      </c>
    </row>
    <row r="89" spans="2:8">
      <c r="B89" s="10" t="s">
        <v>496</v>
      </c>
      <c r="C89" s="12">
        <v>56.945173137763447</v>
      </c>
      <c r="D89" s="16">
        <v>-6.0326478459603603</v>
      </c>
      <c r="F89" s="10" t="s">
        <v>712</v>
      </c>
      <c r="G89" s="12">
        <v>56.945173137763447</v>
      </c>
      <c r="H89" s="16">
        <v>-6.0326478459603603</v>
      </c>
    </row>
    <row r="90" spans="2:8">
      <c r="B90" s="13" t="s">
        <v>497</v>
      </c>
      <c r="C90" s="15">
        <v>49.640885615799426</v>
      </c>
      <c r="D90" s="17">
        <v>-7.7243858856803742</v>
      </c>
      <c r="F90" s="13" t="s">
        <v>713</v>
      </c>
      <c r="G90" s="15">
        <v>49.640885615799426</v>
      </c>
      <c r="H90" s="17">
        <v>-7.7243858856803742</v>
      </c>
    </row>
    <row r="91" spans="2:8">
      <c r="B91" s="10" t="s">
        <v>498</v>
      </c>
      <c r="C91" s="12">
        <v>51.014791032188974</v>
      </c>
      <c r="D91" s="16">
        <v>-6.0255849057781798</v>
      </c>
      <c r="F91" s="10" t="s">
        <v>714</v>
      </c>
      <c r="G91" s="12">
        <v>51.014791032188974</v>
      </c>
      <c r="H91" s="16">
        <v>-6.0255849057781798</v>
      </c>
    </row>
    <row r="92" spans="2:8">
      <c r="B92" s="13" t="s">
        <v>499</v>
      </c>
      <c r="C92" s="15">
        <v>49.254804218495842</v>
      </c>
      <c r="D92" s="17">
        <v>-5.669034782467314</v>
      </c>
      <c r="F92" s="13" t="s">
        <v>715</v>
      </c>
      <c r="G92" s="15">
        <v>49.254804218495842</v>
      </c>
      <c r="H92" s="17">
        <v>-5.669034782467314</v>
      </c>
    </row>
    <row r="93" spans="2:8">
      <c r="B93" s="10" t="s">
        <v>500</v>
      </c>
      <c r="C93" s="12">
        <v>49.827059381258366</v>
      </c>
      <c r="D93" s="16">
        <v>-3.7225532697860961</v>
      </c>
      <c r="F93" s="10" t="s">
        <v>716</v>
      </c>
      <c r="G93" s="12">
        <v>49.827059381258366</v>
      </c>
      <c r="H93" s="16">
        <v>-3.7225532697860961</v>
      </c>
    </row>
    <row r="94" spans="2:8">
      <c r="B94" s="13" t="s">
        <v>501</v>
      </c>
      <c r="C94" s="15">
        <v>53.634629588596361</v>
      </c>
      <c r="D94" s="17">
        <v>-4.4159736833086072</v>
      </c>
      <c r="F94" s="13" t="s">
        <v>717</v>
      </c>
      <c r="G94" s="15">
        <v>53.634629588596361</v>
      </c>
      <c r="H94" s="17">
        <v>-4.4159736833086072</v>
      </c>
    </row>
    <row r="95" spans="2:8">
      <c r="B95" s="10" t="s">
        <v>502</v>
      </c>
      <c r="C95" s="12">
        <v>57.746278776703605</v>
      </c>
      <c r="D95" s="16">
        <v>-13.974889417062251</v>
      </c>
      <c r="F95" s="10" t="s">
        <v>718</v>
      </c>
      <c r="G95" s="12">
        <v>57.746278776703605</v>
      </c>
      <c r="H95" s="16">
        <v>-13.974889417062251</v>
      </c>
    </row>
    <row r="96" spans="2:8">
      <c r="B96" s="13" t="s">
        <v>503</v>
      </c>
      <c r="C96" s="15">
        <v>56.470615318459608</v>
      </c>
      <c r="D96" s="17">
        <v>-7.7516277922542107</v>
      </c>
      <c r="F96" s="13" t="s">
        <v>719</v>
      </c>
      <c r="G96" s="15">
        <v>56.470615318459608</v>
      </c>
      <c r="H96" s="17">
        <v>-7.7516277922542107</v>
      </c>
    </row>
    <row r="97" spans="2:8">
      <c r="B97" s="10" t="s">
        <v>504</v>
      </c>
      <c r="C97" s="12">
        <v>59.584541326979952</v>
      </c>
      <c r="D97" s="16">
        <v>-9.2910126205106121</v>
      </c>
      <c r="F97" s="10" t="s">
        <v>720</v>
      </c>
      <c r="G97" s="12">
        <v>59.584541326979952</v>
      </c>
      <c r="H97" s="16">
        <v>-9.2910126205106121</v>
      </c>
    </row>
    <row r="98" spans="2:8">
      <c r="B98" s="13" t="s">
        <v>505</v>
      </c>
      <c r="C98" s="15">
        <v>57.893656664012198</v>
      </c>
      <c r="D98" s="17">
        <v>-8.4980804327149801</v>
      </c>
      <c r="F98" s="13" t="s">
        <v>721</v>
      </c>
      <c r="G98" s="15">
        <v>57.893656664012198</v>
      </c>
      <c r="H98" s="17">
        <v>-8.4980804327149801</v>
      </c>
    </row>
    <row r="99" spans="2:8">
      <c r="B99" s="10" t="s">
        <v>506</v>
      </c>
      <c r="C99" s="12">
        <v>58.052345663522829</v>
      </c>
      <c r="D99" s="16">
        <v>-2.5559568075941161</v>
      </c>
      <c r="F99" s="10" t="s">
        <v>722</v>
      </c>
      <c r="G99" s="12">
        <v>58.052345663522829</v>
      </c>
      <c r="H99" s="16">
        <v>-2.5559568075941161</v>
      </c>
    </row>
    <row r="100" spans="2:8">
      <c r="B100" s="13" t="s">
        <v>507</v>
      </c>
      <c r="C100" s="15">
        <v>50.121330338681709</v>
      </c>
      <c r="D100" s="17">
        <v>-1.6215682974421757</v>
      </c>
      <c r="F100" s="13" t="s">
        <v>723</v>
      </c>
      <c r="G100" s="15">
        <v>50.121330338681709</v>
      </c>
      <c r="H100" s="17">
        <v>-1.6215682974421757</v>
      </c>
    </row>
    <row r="101" spans="2:8">
      <c r="B101" s="10" t="s">
        <v>508</v>
      </c>
      <c r="C101" s="12">
        <v>56.314145134548326</v>
      </c>
      <c r="D101" s="16">
        <v>0.46138264477461949</v>
      </c>
      <c r="F101" s="10" t="s">
        <v>724</v>
      </c>
      <c r="G101" s="12">
        <v>56.314145134548326</v>
      </c>
      <c r="H101" s="16">
        <v>0.46138264477461949</v>
      </c>
    </row>
    <row r="102" spans="2:8">
      <c r="B102" s="13" t="s">
        <v>509</v>
      </c>
      <c r="C102" s="15">
        <v>55.490343245034524</v>
      </c>
      <c r="D102" s="17">
        <v>-0.7298925533343259</v>
      </c>
      <c r="F102" s="13" t="s">
        <v>725</v>
      </c>
      <c r="G102" s="15">
        <v>55.490343245034524</v>
      </c>
      <c r="H102" s="17">
        <v>-0.7298925533343259</v>
      </c>
    </row>
    <row r="103" spans="2:8">
      <c r="B103" s="10" t="s">
        <v>510</v>
      </c>
      <c r="C103" s="12">
        <v>50.857272941432072</v>
      </c>
      <c r="D103" s="16">
        <v>1.4578842738962428</v>
      </c>
      <c r="F103" s="10" t="s">
        <v>726</v>
      </c>
      <c r="G103" s="12">
        <v>50.857272941432072</v>
      </c>
      <c r="H103" s="16">
        <v>1.4578842738962428</v>
      </c>
    </row>
    <row r="104" spans="2:8">
      <c r="B104" s="13" t="s">
        <v>511</v>
      </c>
      <c r="C104" s="15">
        <v>54.53737892319419</v>
      </c>
      <c r="D104" s="17">
        <v>-3.7496702748771376</v>
      </c>
      <c r="F104" s="13" t="s">
        <v>727</v>
      </c>
      <c r="G104" s="15">
        <v>54.53737892319419</v>
      </c>
      <c r="H104" s="17">
        <v>-3.7496702748771376</v>
      </c>
    </row>
    <row r="105" spans="2:8">
      <c r="B105" s="10" t="s">
        <v>512</v>
      </c>
      <c r="C105" s="12">
        <v>52.556051225418109</v>
      </c>
      <c r="D105" s="16">
        <v>-5.0822774618537778</v>
      </c>
      <c r="F105" s="10" t="s">
        <v>728</v>
      </c>
      <c r="G105" s="12">
        <v>52.556051225418109</v>
      </c>
      <c r="H105" s="16">
        <v>-5.0822774618537778</v>
      </c>
    </row>
    <row r="106" spans="2:8">
      <c r="B106" s="13" t="s">
        <v>513</v>
      </c>
      <c r="C106" s="15">
        <v>60.122607145927731</v>
      </c>
      <c r="D106" s="17">
        <v>0.91301124024254743</v>
      </c>
      <c r="F106" s="13" t="s">
        <v>729</v>
      </c>
      <c r="G106" s="15">
        <v>60.122607145927731</v>
      </c>
      <c r="H106" s="17">
        <v>0.91301124024254743</v>
      </c>
    </row>
    <row r="107" spans="2:8">
      <c r="B107" s="10" t="s">
        <v>514</v>
      </c>
      <c r="C107" s="12">
        <v>59.167144265263602</v>
      </c>
      <c r="D107" s="16">
        <v>-1.4817735668336027</v>
      </c>
      <c r="F107" s="10" t="s">
        <v>730</v>
      </c>
      <c r="G107" s="12">
        <v>59.167144265263602</v>
      </c>
      <c r="H107" s="16">
        <v>-1.4817735668336027</v>
      </c>
    </row>
    <row r="108" spans="2:8">
      <c r="B108" s="13" t="s">
        <v>515</v>
      </c>
      <c r="C108" s="15">
        <v>58.620627643277736</v>
      </c>
      <c r="D108" s="17">
        <v>0.64185280600124217</v>
      </c>
      <c r="F108" s="13" t="s">
        <v>731</v>
      </c>
      <c r="G108" s="15">
        <v>58.620627643277736</v>
      </c>
      <c r="H108" s="17">
        <v>0.64185280600124217</v>
      </c>
    </row>
    <row r="109" spans="2:8">
      <c r="B109" s="10" t="s">
        <v>516</v>
      </c>
      <c r="C109" s="12">
        <v>61.650104746409518</v>
      </c>
      <c r="D109" s="16">
        <v>0.63753890559659177</v>
      </c>
      <c r="F109" s="10" t="s">
        <v>732</v>
      </c>
      <c r="G109" s="12">
        <v>61.650104746409518</v>
      </c>
      <c r="H109" s="16">
        <v>0.63753890559659177</v>
      </c>
    </row>
    <row r="110" spans="2:8">
      <c r="B110" s="13" t="s">
        <v>517</v>
      </c>
      <c r="C110" s="15">
        <v>60.800305776056703</v>
      </c>
      <c r="D110" s="17">
        <v>-2.0081617341900282</v>
      </c>
      <c r="F110" s="13" t="s">
        <v>733</v>
      </c>
      <c r="G110" s="15">
        <v>60.800305776056703</v>
      </c>
      <c r="H110" s="17">
        <v>-2.0081617341900282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A94A-06AE-4528-9ABE-C703EFDE3574}">
  <dimension ref="A1:L110"/>
  <sheetViews>
    <sheetView workbookViewId="0">
      <selection sqref="A1:H1"/>
    </sheetView>
  </sheetViews>
  <sheetFormatPr defaultRowHeight="14.25"/>
  <cols>
    <col min="2" max="2" width="10.59765625" customWidth="1"/>
    <col min="3" max="4" width="15.796875" bestFit="1" customWidth="1"/>
    <col min="6" max="6" width="15.796875" bestFit="1" customWidth="1"/>
    <col min="7" max="7" width="10.59765625" customWidth="1"/>
    <col min="8" max="8" width="17.796875" bestFit="1" customWidth="1"/>
    <col min="10" max="10" width="10.59765625" customWidth="1"/>
    <col min="11" max="12" width="15.73046875" bestFit="1" customWidth="1"/>
  </cols>
  <sheetData>
    <row r="1" spans="1:12" ht="22.05" customHeight="1">
      <c r="A1" s="18" t="s">
        <v>518</v>
      </c>
      <c r="B1" s="18"/>
      <c r="C1" s="18"/>
      <c r="D1" s="18"/>
      <c r="E1" s="18"/>
      <c r="F1" s="18"/>
      <c r="G1" s="18"/>
      <c r="H1" s="18"/>
    </row>
    <row r="9" spans="1:12" ht="14.65" thickBot="1">
      <c r="B9" s="8" t="s">
        <v>57</v>
      </c>
      <c r="F9" s="8" t="s">
        <v>57</v>
      </c>
      <c r="J9" s="8" t="s">
        <v>66</v>
      </c>
    </row>
    <row r="10" spans="1:12" ht="15.75" thickBot="1">
      <c r="B10" s="9" t="s">
        <v>46</v>
      </c>
      <c r="C10" s="9" t="s">
        <v>48</v>
      </c>
      <c r="D10" s="9" t="s">
        <v>58</v>
      </c>
      <c r="F10" s="9" t="s">
        <v>58</v>
      </c>
      <c r="G10" s="9" t="s">
        <v>46</v>
      </c>
      <c r="H10" s="9" t="s">
        <v>48</v>
      </c>
      <c r="J10" s="9" t="s">
        <v>46</v>
      </c>
      <c r="K10" s="9" t="s">
        <v>47</v>
      </c>
      <c r="L10" s="9" t="s">
        <v>48</v>
      </c>
    </row>
    <row r="11" spans="1:12">
      <c r="B11" s="10" t="s">
        <v>417</v>
      </c>
      <c r="C11" s="10" t="s">
        <v>418</v>
      </c>
      <c r="D11" s="10" t="s">
        <v>418</v>
      </c>
      <c r="F11" s="10" t="s">
        <v>418</v>
      </c>
      <c r="G11" s="10" t="s">
        <v>519</v>
      </c>
      <c r="H11" s="10" t="s">
        <v>520</v>
      </c>
      <c r="J11" s="10" t="s">
        <v>530</v>
      </c>
      <c r="K11" s="10" t="s">
        <v>531</v>
      </c>
      <c r="L11" s="10" t="s">
        <v>531</v>
      </c>
    </row>
    <row r="12" spans="1:12">
      <c r="B12" s="13" t="s">
        <v>417</v>
      </c>
      <c r="C12" s="13" t="s">
        <v>419</v>
      </c>
      <c r="D12" s="13" t="s">
        <v>419</v>
      </c>
      <c r="F12" s="13" t="s">
        <v>419</v>
      </c>
      <c r="G12" s="13" t="s">
        <v>519</v>
      </c>
      <c r="H12" s="13" t="s">
        <v>521</v>
      </c>
      <c r="J12" s="13" t="s">
        <v>530</v>
      </c>
      <c r="K12" s="13" t="s">
        <v>532</v>
      </c>
      <c r="L12" s="13" t="s">
        <v>532</v>
      </c>
    </row>
    <row r="13" spans="1:12">
      <c r="B13" s="10" t="s">
        <v>417</v>
      </c>
      <c r="C13" s="10" t="s">
        <v>420</v>
      </c>
      <c r="D13" s="10" t="s">
        <v>420</v>
      </c>
      <c r="F13" s="10" t="s">
        <v>420</v>
      </c>
      <c r="G13" s="10" t="s">
        <v>519</v>
      </c>
      <c r="H13" s="10" t="s">
        <v>522</v>
      </c>
      <c r="J13" s="10" t="s">
        <v>530</v>
      </c>
      <c r="K13" s="10" t="s">
        <v>533</v>
      </c>
      <c r="L13" s="10" t="s">
        <v>533</v>
      </c>
    </row>
    <row r="14" spans="1:12">
      <c r="B14" s="13" t="s">
        <v>417</v>
      </c>
      <c r="C14" s="13" t="s">
        <v>421</v>
      </c>
      <c r="D14" s="13" t="s">
        <v>421</v>
      </c>
      <c r="F14" s="13" t="s">
        <v>421</v>
      </c>
      <c r="G14" s="13" t="s">
        <v>519</v>
      </c>
      <c r="H14" s="13" t="s">
        <v>522</v>
      </c>
      <c r="J14" s="13" t="s">
        <v>530</v>
      </c>
      <c r="K14" s="13" t="s">
        <v>534</v>
      </c>
      <c r="L14" s="13" t="s">
        <v>534</v>
      </c>
    </row>
    <row r="15" spans="1:12">
      <c r="B15" s="10" t="s">
        <v>417</v>
      </c>
      <c r="C15" s="10" t="s">
        <v>422</v>
      </c>
      <c r="D15" s="10" t="s">
        <v>422</v>
      </c>
      <c r="F15" s="10" t="s">
        <v>422</v>
      </c>
      <c r="G15" s="10" t="s">
        <v>519</v>
      </c>
      <c r="H15" s="10" t="s">
        <v>523</v>
      </c>
      <c r="J15" s="10" t="s">
        <v>530</v>
      </c>
      <c r="K15" s="10" t="s">
        <v>535</v>
      </c>
      <c r="L15" s="10" t="s">
        <v>535</v>
      </c>
    </row>
    <row r="16" spans="1:12">
      <c r="B16" s="13" t="s">
        <v>417</v>
      </c>
      <c r="C16" s="13" t="s">
        <v>423</v>
      </c>
      <c r="D16" s="13" t="s">
        <v>423</v>
      </c>
      <c r="F16" s="13" t="s">
        <v>423</v>
      </c>
      <c r="G16" s="13" t="s">
        <v>519</v>
      </c>
      <c r="H16" s="13" t="s">
        <v>522</v>
      </c>
      <c r="J16" s="13" t="s">
        <v>530</v>
      </c>
      <c r="K16" s="13" t="s">
        <v>536</v>
      </c>
      <c r="L16" s="13" t="s">
        <v>536</v>
      </c>
    </row>
    <row r="17" spans="2:12">
      <c r="B17" s="10" t="s">
        <v>417</v>
      </c>
      <c r="C17" s="10" t="s">
        <v>424</v>
      </c>
      <c r="D17" s="10" t="s">
        <v>424</v>
      </c>
      <c r="F17" s="10" t="s">
        <v>424</v>
      </c>
      <c r="G17" s="10" t="s">
        <v>519</v>
      </c>
      <c r="H17" s="10" t="s">
        <v>522</v>
      </c>
      <c r="J17" s="10" t="s">
        <v>530</v>
      </c>
      <c r="K17" s="10" t="s">
        <v>537</v>
      </c>
      <c r="L17" s="10" t="s">
        <v>537</v>
      </c>
    </row>
    <row r="18" spans="2:12">
      <c r="B18" s="13" t="s">
        <v>417</v>
      </c>
      <c r="C18" s="13" t="s">
        <v>425</v>
      </c>
      <c r="D18" s="13" t="s">
        <v>425</v>
      </c>
      <c r="F18" s="13" t="s">
        <v>425</v>
      </c>
      <c r="G18" s="13" t="s">
        <v>519</v>
      </c>
      <c r="H18" s="13" t="s">
        <v>523</v>
      </c>
      <c r="J18" s="13" t="s">
        <v>530</v>
      </c>
      <c r="K18" s="13" t="s">
        <v>538</v>
      </c>
      <c r="L18" s="13" t="s">
        <v>538</v>
      </c>
    </row>
    <row r="19" spans="2:12">
      <c r="B19" s="10" t="s">
        <v>417</v>
      </c>
      <c r="C19" s="10" t="s">
        <v>426</v>
      </c>
      <c r="D19" s="10" t="s">
        <v>426</v>
      </c>
      <c r="F19" s="10" t="s">
        <v>426</v>
      </c>
      <c r="G19" s="10" t="s">
        <v>519</v>
      </c>
      <c r="H19" s="10" t="s">
        <v>524</v>
      </c>
      <c r="J19" s="10" t="s">
        <v>530</v>
      </c>
      <c r="K19" s="10" t="s">
        <v>539</v>
      </c>
      <c r="L19" s="10" t="s">
        <v>539</v>
      </c>
    </row>
    <row r="20" spans="2:12">
      <c r="B20" s="13" t="s">
        <v>417</v>
      </c>
      <c r="C20" s="13" t="s">
        <v>427</v>
      </c>
      <c r="D20" s="13" t="s">
        <v>427</v>
      </c>
      <c r="F20" s="13" t="s">
        <v>427</v>
      </c>
      <c r="G20" s="13" t="s">
        <v>519</v>
      </c>
      <c r="H20" s="13" t="s">
        <v>522</v>
      </c>
      <c r="J20" s="13" t="s">
        <v>530</v>
      </c>
      <c r="K20" s="13" t="s">
        <v>540</v>
      </c>
      <c r="L20" s="13" t="s">
        <v>540</v>
      </c>
    </row>
    <row r="21" spans="2:12">
      <c r="B21" s="10" t="s">
        <v>417</v>
      </c>
      <c r="C21" s="10" t="s">
        <v>428</v>
      </c>
      <c r="D21" s="10" t="s">
        <v>428</v>
      </c>
      <c r="F21" s="10" t="s">
        <v>428</v>
      </c>
      <c r="G21" s="10" t="s">
        <v>519</v>
      </c>
      <c r="H21" s="10" t="s">
        <v>521</v>
      </c>
      <c r="J21" s="10" t="s">
        <v>530</v>
      </c>
      <c r="K21" s="10" t="s">
        <v>541</v>
      </c>
      <c r="L21" s="10" t="s">
        <v>541</v>
      </c>
    </row>
    <row r="22" spans="2:12">
      <c r="B22" s="13" t="s">
        <v>417</v>
      </c>
      <c r="C22" s="13" t="s">
        <v>429</v>
      </c>
      <c r="D22" s="13" t="s">
        <v>429</v>
      </c>
      <c r="F22" s="13" t="s">
        <v>429</v>
      </c>
      <c r="G22" s="13" t="s">
        <v>519</v>
      </c>
      <c r="H22" s="13" t="s">
        <v>525</v>
      </c>
      <c r="J22" s="13" t="s">
        <v>530</v>
      </c>
      <c r="K22" s="13" t="s">
        <v>542</v>
      </c>
      <c r="L22" s="13" t="s">
        <v>542</v>
      </c>
    </row>
    <row r="23" spans="2:12">
      <c r="B23" s="10" t="s">
        <v>417</v>
      </c>
      <c r="C23" s="10" t="s">
        <v>430</v>
      </c>
      <c r="D23" s="10" t="s">
        <v>430</v>
      </c>
      <c r="F23" s="10" t="s">
        <v>430</v>
      </c>
      <c r="G23" s="10" t="s">
        <v>519</v>
      </c>
      <c r="H23" s="10" t="s">
        <v>526</v>
      </c>
      <c r="J23" s="10" t="s">
        <v>530</v>
      </c>
      <c r="K23" s="10" t="s">
        <v>543</v>
      </c>
      <c r="L23" s="10" t="s">
        <v>543</v>
      </c>
    </row>
    <row r="24" spans="2:12">
      <c r="B24" s="13" t="s">
        <v>417</v>
      </c>
      <c r="C24" s="13" t="s">
        <v>431</v>
      </c>
      <c r="D24" s="13" t="s">
        <v>431</v>
      </c>
      <c r="F24" s="13" t="s">
        <v>431</v>
      </c>
      <c r="G24" s="13" t="s">
        <v>519</v>
      </c>
      <c r="H24" s="13" t="s">
        <v>523</v>
      </c>
      <c r="J24" s="13" t="s">
        <v>530</v>
      </c>
      <c r="K24" s="13" t="s">
        <v>544</v>
      </c>
      <c r="L24" s="13" t="s">
        <v>544</v>
      </c>
    </row>
    <row r="25" spans="2:12">
      <c r="B25" s="10" t="s">
        <v>417</v>
      </c>
      <c r="C25" s="10" t="s">
        <v>432</v>
      </c>
      <c r="D25" s="10" t="s">
        <v>432</v>
      </c>
      <c r="F25" s="10" t="s">
        <v>432</v>
      </c>
      <c r="G25" s="10" t="s">
        <v>519</v>
      </c>
      <c r="H25" s="10" t="s">
        <v>522</v>
      </c>
      <c r="J25" s="10" t="s">
        <v>530</v>
      </c>
      <c r="K25" s="10" t="s">
        <v>545</v>
      </c>
      <c r="L25" s="10" t="s">
        <v>545</v>
      </c>
    </row>
    <row r="26" spans="2:12">
      <c r="B26" s="13" t="s">
        <v>417</v>
      </c>
      <c r="C26" s="13" t="s">
        <v>433</v>
      </c>
      <c r="D26" s="13" t="s">
        <v>433</v>
      </c>
      <c r="F26" s="13" t="s">
        <v>433</v>
      </c>
      <c r="G26" s="13" t="s">
        <v>519</v>
      </c>
      <c r="H26" s="13" t="s">
        <v>521</v>
      </c>
      <c r="J26" s="13" t="s">
        <v>530</v>
      </c>
      <c r="K26" s="13" t="s">
        <v>546</v>
      </c>
      <c r="L26" s="13" t="s">
        <v>546</v>
      </c>
    </row>
    <row r="27" spans="2:12">
      <c r="B27" s="10" t="s">
        <v>417</v>
      </c>
      <c r="C27" s="10" t="s">
        <v>434</v>
      </c>
      <c r="D27" s="10" t="s">
        <v>434</v>
      </c>
      <c r="F27" s="10" t="s">
        <v>434</v>
      </c>
      <c r="G27" s="10" t="s">
        <v>519</v>
      </c>
      <c r="H27" s="10" t="s">
        <v>527</v>
      </c>
      <c r="J27" s="10" t="s">
        <v>530</v>
      </c>
      <c r="K27" s="10" t="s">
        <v>547</v>
      </c>
      <c r="L27" s="10" t="s">
        <v>547</v>
      </c>
    </row>
    <row r="28" spans="2:12">
      <c r="B28" s="13" t="s">
        <v>417</v>
      </c>
      <c r="C28" s="13" t="s">
        <v>435</v>
      </c>
      <c r="D28" s="13" t="s">
        <v>435</v>
      </c>
      <c r="F28" s="13" t="s">
        <v>435</v>
      </c>
      <c r="G28" s="13" t="s">
        <v>519</v>
      </c>
      <c r="H28" s="13" t="s">
        <v>521</v>
      </c>
      <c r="J28" s="13" t="s">
        <v>530</v>
      </c>
      <c r="K28" s="13" t="s">
        <v>548</v>
      </c>
      <c r="L28" s="13" t="s">
        <v>548</v>
      </c>
    </row>
    <row r="29" spans="2:12">
      <c r="B29" s="10" t="s">
        <v>417</v>
      </c>
      <c r="C29" s="10" t="s">
        <v>436</v>
      </c>
      <c r="D29" s="10" t="s">
        <v>436</v>
      </c>
      <c r="F29" s="10" t="s">
        <v>436</v>
      </c>
      <c r="G29" s="10" t="s">
        <v>519</v>
      </c>
      <c r="H29" s="10" t="s">
        <v>528</v>
      </c>
      <c r="J29" s="10" t="s">
        <v>530</v>
      </c>
      <c r="K29" s="10" t="s">
        <v>549</v>
      </c>
      <c r="L29" s="10" t="s">
        <v>549</v>
      </c>
    </row>
    <row r="30" spans="2:12">
      <c r="B30" s="13" t="s">
        <v>417</v>
      </c>
      <c r="C30" s="13" t="s">
        <v>437</v>
      </c>
      <c r="D30" s="13" t="s">
        <v>437</v>
      </c>
      <c r="F30" s="13" t="s">
        <v>437</v>
      </c>
      <c r="G30" s="13" t="s">
        <v>519</v>
      </c>
      <c r="H30" s="13" t="s">
        <v>528</v>
      </c>
      <c r="J30" s="13" t="s">
        <v>530</v>
      </c>
      <c r="K30" s="13" t="s">
        <v>550</v>
      </c>
      <c r="L30" s="13" t="s">
        <v>550</v>
      </c>
    </row>
    <row r="31" spans="2:12">
      <c r="B31" s="10" t="s">
        <v>417</v>
      </c>
      <c r="C31" s="10" t="s">
        <v>438</v>
      </c>
      <c r="D31" s="10" t="s">
        <v>438</v>
      </c>
      <c r="F31" s="10" t="s">
        <v>438</v>
      </c>
      <c r="G31" s="10" t="s">
        <v>519</v>
      </c>
      <c r="H31" s="10" t="s">
        <v>526</v>
      </c>
      <c r="J31" s="10" t="s">
        <v>530</v>
      </c>
      <c r="K31" s="10" t="s">
        <v>551</v>
      </c>
      <c r="L31" s="10" t="s">
        <v>551</v>
      </c>
    </row>
    <row r="32" spans="2:12">
      <c r="B32" s="13" t="s">
        <v>417</v>
      </c>
      <c r="C32" s="13" t="s">
        <v>439</v>
      </c>
      <c r="D32" s="13" t="s">
        <v>439</v>
      </c>
      <c r="F32" s="13" t="s">
        <v>439</v>
      </c>
      <c r="G32" s="13" t="s">
        <v>519</v>
      </c>
      <c r="H32" s="13" t="s">
        <v>522</v>
      </c>
      <c r="J32" s="13" t="s">
        <v>530</v>
      </c>
      <c r="K32" s="13" t="s">
        <v>552</v>
      </c>
      <c r="L32" s="13" t="s">
        <v>552</v>
      </c>
    </row>
    <row r="33" spans="2:12">
      <c r="B33" s="10" t="s">
        <v>417</v>
      </c>
      <c r="C33" s="10" t="s">
        <v>440</v>
      </c>
      <c r="D33" s="10" t="s">
        <v>440</v>
      </c>
      <c r="F33" s="10" t="s">
        <v>440</v>
      </c>
      <c r="G33" s="10" t="s">
        <v>519</v>
      </c>
      <c r="H33" s="10" t="s">
        <v>520</v>
      </c>
      <c r="J33" s="10" t="s">
        <v>530</v>
      </c>
      <c r="K33" s="10" t="s">
        <v>553</v>
      </c>
      <c r="L33" s="10" t="s">
        <v>553</v>
      </c>
    </row>
    <row r="34" spans="2:12">
      <c r="B34" s="13" t="s">
        <v>417</v>
      </c>
      <c r="C34" s="13" t="s">
        <v>441</v>
      </c>
      <c r="D34" s="13" t="s">
        <v>441</v>
      </c>
      <c r="F34" s="13" t="s">
        <v>441</v>
      </c>
      <c r="G34" s="13" t="s">
        <v>519</v>
      </c>
      <c r="H34" s="13" t="s">
        <v>521</v>
      </c>
      <c r="J34" s="13" t="s">
        <v>530</v>
      </c>
      <c r="K34" s="13" t="s">
        <v>554</v>
      </c>
      <c r="L34" s="13" t="s">
        <v>554</v>
      </c>
    </row>
    <row r="35" spans="2:12">
      <c r="B35" s="10" t="s">
        <v>417</v>
      </c>
      <c r="C35" s="10" t="s">
        <v>442</v>
      </c>
      <c r="D35" s="10" t="s">
        <v>442</v>
      </c>
      <c r="F35" s="10" t="s">
        <v>442</v>
      </c>
      <c r="G35" s="10" t="s">
        <v>519</v>
      </c>
      <c r="H35" s="10" t="s">
        <v>522</v>
      </c>
      <c r="J35" s="10" t="s">
        <v>530</v>
      </c>
      <c r="K35" s="10" t="s">
        <v>555</v>
      </c>
      <c r="L35" s="10" t="s">
        <v>555</v>
      </c>
    </row>
    <row r="36" spans="2:12">
      <c r="B36" s="13" t="s">
        <v>417</v>
      </c>
      <c r="C36" s="13" t="s">
        <v>443</v>
      </c>
      <c r="D36" s="13" t="s">
        <v>443</v>
      </c>
      <c r="F36" s="13" t="s">
        <v>443</v>
      </c>
      <c r="G36" s="13" t="s">
        <v>519</v>
      </c>
      <c r="H36" s="13" t="s">
        <v>522</v>
      </c>
      <c r="J36" s="13" t="s">
        <v>530</v>
      </c>
      <c r="K36" s="13" t="s">
        <v>556</v>
      </c>
      <c r="L36" s="13" t="s">
        <v>556</v>
      </c>
    </row>
    <row r="37" spans="2:12">
      <c r="B37" s="10" t="s">
        <v>417</v>
      </c>
      <c r="C37" s="10" t="s">
        <v>444</v>
      </c>
      <c r="D37" s="10" t="s">
        <v>444</v>
      </c>
      <c r="F37" s="10" t="s">
        <v>444</v>
      </c>
      <c r="G37" s="10" t="s">
        <v>519</v>
      </c>
      <c r="H37" s="10" t="s">
        <v>523</v>
      </c>
      <c r="J37" s="10" t="s">
        <v>530</v>
      </c>
      <c r="K37" s="10" t="s">
        <v>557</v>
      </c>
      <c r="L37" s="10" t="s">
        <v>557</v>
      </c>
    </row>
    <row r="38" spans="2:12">
      <c r="B38" s="13" t="s">
        <v>417</v>
      </c>
      <c r="C38" s="13" t="s">
        <v>445</v>
      </c>
      <c r="D38" s="13" t="s">
        <v>445</v>
      </c>
      <c r="F38" s="13" t="s">
        <v>445</v>
      </c>
      <c r="G38" s="13" t="s">
        <v>519</v>
      </c>
      <c r="H38" s="13" t="s">
        <v>522</v>
      </c>
      <c r="J38" s="13" t="s">
        <v>530</v>
      </c>
      <c r="K38" s="13" t="s">
        <v>558</v>
      </c>
      <c r="L38" s="13" t="s">
        <v>558</v>
      </c>
    </row>
    <row r="39" spans="2:12">
      <c r="B39" s="10" t="s">
        <v>417</v>
      </c>
      <c r="C39" s="10" t="s">
        <v>446</v>
      </c>
      <c r="D39" s="10" t="s">
        <v>446</v>
      </c>
      <c r="F39" s="10" t="s">
        <v>446</v>
      </c>
      <c r="G39" s="10" t="s">
        <v>519</v>
      </c>
      <c r="H39" s="10" t="s">
        <v>522</v>
      </c>
      <c r="J39" s="10" t="s">
        <v>530</v>
      </c>
      <c r="K39" s="10" t="s">
        <v>559</v>
      </c>
      <c r="L39" s="10" t="s">
        <v>559</v>
      </c>
    </row>
    <row r="40" spans="2:12">
      <c r="B40" s="13" t="s">
        <v>417</v>
      </c>
      <c r="C40" s="13" t="s">
        <v>447</v>
      </c>
      <c r="D40" s="13" t="s">
        <v>447</v>
      </c>
      <c r="F40" s="13" t="s">
        <v>447</v>
      </c>
      <c r="G40" s="13" t="s">
        <v>519</v>
      </c>
      <c r="H40" s="13" t="s">
        <v>523</v>
      </c>
      <c r="J40" s="13" t="s">
        <v>530</v>
      </c>
      <c r="K40" s="13" t="s">
        <v>560</v>
      </c>
      <c r="L40" s="13" t="s">
        <v>560</v>
      </c>
    </row>
    <row r="41" spans="2:12">
      <c r="B41" s="10" t="s">
        <v>417</v>
      </c>
      <c r="C41" s="10" t="s">
        <v>448</v>
      </c>
      <c r="D41" s="10" t="s">
        <v>448</v>
      </c>
      <c r="F41" s="10" t="s">
        <v>448</v>
      </c>
      <c r="G41" s="10" t="s">
        <v>519</v>
      </c>
      <c r="H41" s="10" t="s">
        <v>524</v>
      </c>
      <c r="J41" s="10" t="s">
        <v>530</v>
      </c>
      <c r="K41" s="10" t="s">
        <v>561</v>
      </c>
      <c r="L41" s="10" t="s">
        <v>561</v>
      </c>
    </row>
    <row r="42" spans="2:12">
      <c r="B42" s="13" t="s">
        <v>417</v>
      </c>
      <c r="C42" s="13" t="s">
        <v>449</v>
      </c>
      <c r="D42" s="13" t="s">
        <v>449</v>
      </c>
      <c r="F42" s="13" t="s">
        <v>449</v>
      </c>
      <c r="G42" s="13" t="s">
        <v>519</v>
      </c>
      <c r="H42" s="13" t="s">
        <v>522</v>
      </c>
      <c r="J42" s="13" t="s">
        <v>530</v>
      </c>
      <c r="K42" s="13" t="s">
        <v>562</v>
      </c>
      <c r="L42" s="13" t="s">
        <v>562</v>
      </c>
    </row>
    <row r="43" spans="2:12">
      <c r="B43" s="10" t="s">
        <v>417</v>
      </c>
      <c r="C43" s="10" t="s">
        <v>450</v>
      </c>
      <c r="D43" s="10" t="s">
        <v>450</v>
      </c>
      <c r="F43" s="10" t="s">
        <v>450</v>
      </c>
      <c r="G43" s="10" t="s">
        <v>519</v>
      </c>
      <c r="H43" s="10" t="s">
        <v>521</v>
      </c>
      <c r="J43" s="10" t="s">
        <v>530</v>
      </c>
      <c r="K43" s="10" t="s">
        <v>563</v>
      </c>
      <c r="L43" s="10" t="s">
        <v>563</v>
      </c>
    </row>
    <row r="44" spans="2:12">
      <c r="B44" s="13" t="s">
        <v>417</v>
      </c>
      <c r="C44" s="13" t="s">
        <v>451</v>
      </c>
      <c r="D44" s="13" t="s">
        <v>451</v>
      </c>
      <c r="F44" s="13" t="s">
        <v>451</v>
      </c>
      <c r="G44" s="13" t="s">
        <v>519</v>
      </c>
      <c r="H44" s="13" t="s">
        <v>525</v>
      </c>
      <c r="J44" s="13" t="s">
        <v>530</v>
      </c>
      <c r="K44" s="13" t="s">
        <v>564</v>
      </c>
      <c r="L44" s="13" t="s">
        <v>564</v>
      </c>
    </row>
    <row r="45" spans="2:12">
      <c r="B45" s="10" t="s">
        <v>417</v>
      </c>
      <c r="C45" s="10" t="s">
        <v>452</v>
      </c>
      <c r="D45" s="10" t="s">
        <v>452</v>
      </c>
      <c r="F45" s="10" t="s">
        <v>452</v>
      </c>
      <c r="G45" s="10" t="s">
        <v>519</v>
      </c>
      <c r="H45" s="10" t="s">
        <v>526</v>
      </c>
      <c r="J45" s="10" t="s">
        <v>530</v>
      </c>
      <c r="K45" s="10" t="s">
        <v>565</v>
      </c>
      <c r="L45" s="10" t="s">
        <v>565</v>
      </c>
    </row>
    <row r="46" spans="2:12">
      <c r="B46" s="13" t="s">
        <v>417</v>
      </c>
      <c r="C46" s="13" t="s">
        <v>453</v>
      </c>
      <c r="D46" s="13" t="s">
        <v>453</v>
      </c>
      <c r="F46" s="13" t="s">
        <v>453</v>
      </c>
      <c r="G46" s="13" t="s">
        <v>519</v>
      </c>
      <c r="H46" s="13" t="s">
        <v>523</v>
      </c>
      <c r="J46" s="13" t="s">
        <v>530</v>
      </c>
      <c r="K46" s="13" t="s">
        <v>566</v>
      </c>
      <c r="L46" s="13" t="s">
        <v>566</v>
      </c>
    </row>
    <row r="47" spans="2:12">
      <c r="B47" s="10" t="s">
        <v>417</v>
      </c>
      <c r="C47" s="10" t="s">
        <v>454</v>
      </c>
      <c r="D47" s="10" t="s">
        <v>454</v>
      </c>
      <c r="F47" s="10" t="s">
        <v>454</v>
      </c>
      <c r="G47" s="10" t="s">
        <v>519</v>
      </c>
      <c r="H47" s="10" t="s">
        <v>522</v>
      </c>
      <c r="J47" s="10" t="s">
        <v>530</v>
      </c>
      <c r="K47" s="10" t="s">
        <v>567</v>
      </c>
      <c r="L47" s="10" t="s">
        <v>567</v>
      </c>
    </row>
    <row r="48" spans="2:12">
      <c r="B48" s="13" t="s">
        <v>417</v>
      </c>
      <c r="C48" s="13" t="s">
        <v>455</v>
      </c>
      <c r="D48" s="13" t="s">
        <v>455</v>
      </c>
      <c r="F48" s="13" t="s">
        <v>455</v>
      </c>
      <c r="G48" s="13" t="s">
        <v>519</v>
      </c>
      <c r="H48" s="13" t="s">
        <v>521</v>
      </c>
      <c r="J48" s="13" t="s">
        <v>530</v>
      </c>
      <c r="K48" s="13" t="s">
        <v>568</v>
      </c>
      <c r="L48" s="13" t="s">
        <v>568</v>
      </c>
    </row>
    <row r="49" spans="2:12">
      <c r="B49" s="10" t="s">
        <v>417</v>
      </c>
      <c r="C49" s="10" t="s">
        <v>456</v>
      </c>
      <c r="D49" s="10" t="s">
        <v>456</v>
      </c>
      <c r="F49" s="10" t="s">
        <v>456</v>
      </c>
      <c r="G49" s="10" t="s">
        <v>519</v>
      </c>
      <c r="H49" s="10" t="s">
        <v>527</v>
      </c>
      <c r="J49" s="10" t="s">
        <v>530</v>
      </c>
      <c r="K49" s="10" t="s">
        <v>569</v>
      </c>
      <c r="L49" s="10" t="s">
        <v>569</v>
      </c>
    </row>
    <row r="50" spans="2:12">
      <c r="B50" s="13" t="s">
        <v>417</v>
      </c>
      <c r="C50" s="13" t="s">
        <v>457</v>
      </c>
      <c r="D50" s="13" t="s">
        <v>457</v>
      </c>
      <c r="F50" s="13" t="s">
        <v>457</v>
      </c>
      <c r="G50" s="13" t="s">
        <v>519</v>
      </c>
      <c r="H50" s="13" t="s">
        <v>521</v>
      </c>
      <c r="J50" s="13" t="s">
        <v>530</v>
      </c>
      <c r="K50" s="13" t="s">
        <v>570</v>
      </c>
      <c r="L50" s="13" t="s">
        <v>570</v>
      </c>
    </row>
    <row r="51" spans="2:12">
      <c r="B51" s="10" t="s">
        <v>417</v>
      </c>
      <c r="C51" s="10" t="s">
        <v>458</v>
      </c>
      <c r="D51" s="10" t="s">
        <v>458</v>
      </c>
      <c r="F51" s="10" t="s">
        <v>458</v>
      </c>
      <c r="G51" s="10" t="s">
        <v>519</v>
      </c>
      <c r="H51" s="10" t="s">
        <v>520</v>
      </c>
      <c r="J51" s="10" t="s">
        <v>530</v>
      </c>
      <c r="K51" s="10" t="s">
        <v>571</v>
      </c>
      <c r="L51" s="10" t="s">
        <v>571</v>
      </c>
    </row>
    <row r="52" spans="2:12">
      <c r="B52" s="13" t="s">
        <v>417</v>
      </c>
      <c r="C52" s="13" t="s">
        <v>459</v>
      </c>
      <c r="D52" s="13" t="s">
        <v>459</v>
      </c>
      <c r="F52" s="13" t="s">
        <v>459</v>
      </c>
      <c r="G52" s="13" t="s">
        <v>519</v>
      </c>
      <c r="H52" s="13" t="s">
        <v>528</v>
      </c>
      <c r="J52" s="13" t="s">
        <v>530</v>
      </c>
      <c r="K52" s="13" t="s">
        <v>572</v>
      </c>
      <c r="L52" s="13" t="s">
        <v>572</v>
      </c>
    </row>
    <row r="53" spans="2:12">
      <c r="B53" s="10" t="s">
        <v>417</v>
      </c>
      <c r="C53" s="10" t="s">
        <v>460</v>
      </c>
      <c r="D53" s="10" t="s">
        <v>460</v>
      </c>
      <c r="F53" s="10" t="s">
        <v>460</v>
      </c>
      <c r="G53" s="10" t="s">
        <v>519</v>
      </c>
      <c r="H53" s="10" t="s">
        <v>526</v>
      </c>
      <c r="J53" s="10" t="s">
        <v>530</v>
      </c>
      <c r="K53" s="10" t="s">
        <v>573</v>
      </c>
      <c r="L53" s="10" t="s">
        <v>573</v>
      </c>
    </row>
    <row r="54" spans="2:12">
      <c r="B54" s="13" t="s">
        <v>417</v>
      </c>
      <c r="C54" s="13" t="s">
        <v>461</v>
      </c>
      <c r="D54" s="13" t="s">
        <v>461</v>
      </c>
      <c r="F54" s="13" t="s">
        <v>461</v>
      </c>
      <c r="G54" s="13" t="s">
        <v>519</v>
      </c>
      <c r="H54" s="13" t="s">
        <v>529</v>
      </c>
      <c r="J54" s="13" t="s">
        <v>530</v>
      </c>
      <c r="K54" s="13" t="s">
        <v>574</v>
      </c>
      <c r="L54" s="13" t="s">
        <v>574</v>
      </c>
    </row>
    <row r="55" spans="2:12">
      <c r="B55" s="10" t="s">
        <v>417</v>
      </c>
      <c r="C55" s="10" t="s">
        <v>462</v>
      </c>
      <c r="D55" s="10" t="s">
        <v>462</v>
      </c>
      <c r="F55" s="10" t="s">
        <v>462</v>
      </c>
      <c r="G55" s="10" t="s">
        <v>519</v>
      </c>
      <c r="H55" s="10" t="s">
        <v>520</v>
      </c>
      <c r="J55" s="10" t="s">
        <v>530</v>
      </c>
      <c r="K55" s="10" t="s">
        <v>575</v>
      </c>
      <c r="L55" s="10" t="s">
        <v>575</v>
      </c>
    </row>
    <row r="56" spans="2:12">
      <c r="B56" s="13" t="s">
        <v>417</v>
      </c>
      <c r="C56" s="13" t="s">
        <v>463</v>
      </c>
      <c r="D56" s="13" t="s">
        <v>463</v>
      </c>
      <c r="F56" s="13" t="s">
        <v>463</v>
      </c>
      <c r="G56" s="13" t="s">
        <v>519</v>
      </c>
      <c r="H56" s="13" t="s">
        <v>521</v>
      </c>
      <c r="J56" s="13" t="s">
        <v>530</v>
      </c>
      <c r="K56" s="13" t="s">
        <v>576</v>
      </c>
      <c r="L56" s="13" t="s">
        <v>576</v>
      </c>
    </row>
    <row r="57" spans="2:12">
      <c r="B57" s="10" t="s">
        <v>417</v>
      </c>
      <c r="C57" s="10" t="s">
        <v>464</v>
      </c>
      <c r="D57" s="10" t="s">
        <v>464</v>
      </c>
      <c r="F57" s="10" t="s">
        <v>464</v>
      </c>
      <c r="G57" s="10" t="s">
        <v>519</v>
      </c>
      <c r="H57" s="10" t="s">
        <v>522</v>
      </c>
      <c r="J57" s="10" t="s">
        <v>530</v>
      </c>
      <c r="K57" s="10" t="s">
        <v>577</v>
      </c>
      <c r="L57" s="10" t="s">
        <v>577</v>
      </c>
    </row>
    <row r="58" spans="2:12">
      <c r="B58" s="13" t="s">
        <v>417</v>
      </c>
      <c r="C58" s="13" t="s">
        <v>465</v>
      </c>
      <c r="D58" s="13" t="s">
        <v>465</v>
      </c>
      <c r="F58" s="13" t="s">
        <v>465</v>
      </c>
      <c r="G58" s="13" t="s">
        <v>519</v>
      </c>
      <c r="H58" s="13" t="s">
        <v>522</v>
      </c>
      <c r="J58" s="13" t="s">
        <v>530</v>
      </c>
      <c r="K58" s="13" t="s">
        <v>578</v>
      </c>
      <c r="L58" s="13" t="s">
        <v>578</v>
      </c>
    </row>
    <row r="59" spans="2:12">
      <c r="B59" s="10" t="s">
        <v>417</v>
      </c>
      <c r="C59" s="10" t="s">
        <v>466</v>
      </c>
      <c r="D59" s="10" t="s">
        <v>466</v>
      </c>
      <c r="F59" s="10" t="s">
        <v>466</v>
      </c>
      <c r="G59" s="10" t="s">
        <v>519</v>
      </c>
      <c r="H59" s="10" t="s">
        <v>523</v>
      </c>
      <c r="J59" s="10" t="s">
        <v>530</v>
      </c>
      <c r="K59" s="10" t="s">
        <v>579</v>
      </c>
      <c r="L59" s="10" t="s">
        <v>579</v>
      </c>
    </row>
    <row r="60" spans="2:12">
      <c r="B60" s="13" t="s">
        <v>417</v>
      </c>
      <c r="C60" s="13" t="s">
        <v>467</v>
      </c>
      <c r="D60" s="13" t="s">
        <v>467</v>
      </c>
      <c r="F60" s="13" t="s">
        <v>467</v>
      </c>
      <c r="G60" s="13" t="s">
        <v>519</v>
      </c>
      <c r="H60" s="13" t="s">
        <v>529</v>
      </c>
      <c r="J60" s="13" t="s">
        <v>530</v>
      </c>
      <c r="K60" s="13" t="s">
        <v>580</v>
      </c>
      <c r="L60" s="13" t="s">
        <v>580</v>
      </c>
    </row>
    <row r="61" spans="2:12">
      <c r="B61" s="10" t="s">
        <v>417</v>
      </c>
      <c r="C61" s="10" t="s">
        <v>468</v>
      </c>
      <c r="D61" s="10" t="s">
        <v>468</v>
      </c>
      <c r="F61" s="10" t="s">
        <v>468</v>
      </c>
      <c r="G61" s="10" t="s">
        <v>519</v>
      </c>
      <c r="H61" s="10" t="s">
        <v>522</v>
      </c>
      <c r="J61" s="10" t="s">
        <v>530</v>
      </c>
      <c r="K61" s="10" t="s">
        <v>581</v>
      </c>
      <c r="L61" s="10" t="s">
        <v>581</v>
      </c>
    </row>
    <row r="62" spans="2:12">
      <c r="B62" s="13" t="s">
        <v>417</v>
      </c>
      <c r="C62" s="13" t="s">
        <v>469</v>
      </c>
      <c r="D62" s="13" t="s">
        <v>469</v>
      </c>
      <c r="F62" s="13" t="s">
        <v>469</v>
      </c>
      <c r="G62" s="13" t="s">
        <v>519</v>
      </c>
      <c r="H62" s="13" t="s">
        <v>523</v>
      </c>
      <c r="J62" s="13" t="s">
        <v>530</v>
      </c>
      <c r="K62" s="13" t="s">
        <v>582</v>
      </c>
      <c r="L62" s="13" t="s">
        <v>582</v>
      </c>
    </row>
    <row r="63" spans="2:12">
      <c r="B63" s="10" t="s">
        <v>417</v>
      </c>
      <c r="C63" s="10" t="s">
        <v>470</v>
      </c>
      <c r="D63" s="10" t="s">
        <v>470</v>
      </c>
      <c r="F63" s="10" t="s">
        <v>470</v>
      </c>
      <c r="G63" s="10" t="s">
        <v>519</v>
      </c>
      <c r="H63" s="10" t="s">
        <v>524</v>
      </c>
      <c r="J63" s="10" t="s">
        <v>530</v>
      </c>
      <c r="K63" s="10" t="s">
        <v>583</v>
      </c>
      <c r="L63" s="10" t="s">
        <v>583</v>
      </c>
    </row>
    <row r="64" spans="2:12">
      <c r="B64" s="13" t="s">
        <v>417</v>
      </c>
      <c r="C64" s="13" t="s">
        <v>471</v>
      </c>
      <c r="D64" s="13" t="s">
        <v>471</v>
      </c>
      <c r="F64" s="13" t="s">
        <v>471</v>
      </c>
      <c r="G64" s="13" t="s">
        <v>519</v>
      </c>
      <c r="H64" s="13" t="s">
        <v>522</v>
      </c>
      <c r="J64" s="13" t="s">
        <v>530</v>
      </c>
      <c r="K64" s="13" t="s">
        <v>584</v>
      </c>
      <c r="L64" s="13" t="s">
        <v>584</v>
      </c>
    </row>
    <row r="65" spans="2:12">
      <c r="B65" s="10" t="s">
        <v>417</v>
      </c>
      <c r="C65" s="10" t="s">
        <v>472</v>
      </c>
      <c r="D65" s="10" t="s">
        <v>472</v>
      </c>
      <c r="F65" s="10" t="s">
        <v>472</v>
      </c>
      <c r="G65" s="10" t="s">
        <v>519</v>
      </c>
      <c r="H65" s="10" t="s">
        <v>521</v>
      </c>
      <c r="J65" s="10" t="s">
        <v>530</v>
      </c>
      <c r="K65" s="10" t="s">
        <v>585</v>
      </c>
      <c r="L65" s="10" t="s">
        <v>585</v>
      </c>
    </row>
    <row r="66" spans="2:12">
      <c r="B66" s="13" t="s">
        <v>417</v>
      </c>
      <c r="C66" s="13" t="s">
        <v>473</v>
      </c>
      <c r="D66" s="13" t="s">
        <v>473</v>
      </c>
      <c r="F66" s="13" t="s">
        <v>473</v>
      </c>
      <c r="G66" s="13" t="s">
        <v>519</v>
      </c>
      <c r="H66" s="13" t="s">
        <v>525</v>
      </c>
      <c r="J66" s="13" t="s">
        <v>530</v>
      </c>
      <c r="K66" s="13" t="s">
        <v>586</v>
      </c>
      <c r="L66" s="13" t="s">
        <v>586</v>
      </c>
    </row>
    <row r="67" spans="2:12">
      <c r="B67" s="10" t="s">
        <v>417</v>
      </c>
      <c r="C67" s="10" t="s">
        <v>474</v>
      </c>
      <c r="D67" s="10" t="s">
        <v>474</v>
      </c>
      <c r="F67" s="10" t="s">
        <v>474</v>
      </c>
      <c r="G67" s="10" t="s">
        <v>519</v>
      </c>
      <c r="H67" s="10" t="s">
        <v>526</v>
      </c>
      <c r="J67" s="10" t="s">
        <v>530</v>
      </c>
      <c r="K67" s="10" t="s">
        <v>587</v>
      </c>
      <c r="L67" s="10" t="s">
        <v>587</v>
      </c>
    </row>
    <row r="68" spans="2:12">
      <c r="B68" s="13" t="s">
        <v>417</v>
      </c>
      <c r="C68" s="13" t="s">
        <v>475</v>
      </c>
      <c r="D68" s="13" t="s">
        <v>475</v>
      </c>
      <c r="F68" s="13" t="s">
        <v>475</v>
      </c>
      <c r="G68" s="13" t="s">
        <v>519</v>
      </c>
      <c r="H68" s="13" t="s">
        <v>523</v>
      </c>
      <c r="J68" s="13" t="s">
        <v>530</v>
      </c>
      <c r="K68" s="13" t="s">
        <v>588</v>
      </c>
      <c r="L68" s="13" t="s">
        <v>588</v>
      </c>
    </row>
    <row r="69" spans="2:12">
      <c r="B69" s="10" t="s">
        <v>417</v>
      </c>
      <c r="C69" s="10" t="s">
        <v>476</v>
      </c>
      <c r="D69" s="10" t="s">
        <v>476</v>
      </c>
      <c r="F69" s="10" t="s">
        <v>476</v>
      </c>
      <c r="G69" s="10" t="s">
        <v>519</v>
      </c>
      <c r="H69" s="10" t="s">
        <v>522</v>
      </c>
      <c r="J69" s="10" t="s">
        <v>530</v>
      </c>
      <c r="K69" s="10" t="s">
        <v>589</v>
      </c>
      <c r="L69" s="10" t="s">
        <v>589</v>
      </c>
    </row>
    <row r="70" spans="2:12">
      <c r="B70" s="13" t="s">
        <v>417</v>
      </c>
      <c r="C70" s="13" t="s">
        <v>477</v>
      </c>
      <c r="D70" s="13" t="s">
        <v>477</v>
      </c>
      <c r="F70" s="13" t="s">
        <v>477</v>
      </c>
      <c r="G70" s="13" t="s">
        <v>519</v>
      </c>
      <c r="H70" s="13" t="s">
        <v>525</v>
      </c>
      <c r="J70" s="13" t="s">
        <v>530</v>
      </c>
      <c r="K70" s="13" t="s">
        <v>590</v>
      </c>
      <c r="L70" s="13" t="s">
        <v>590</v>
      </c>
    </row>
    <row r="71" spans="2:12">
      <c r="B71" s="10" t="s">
        <v>417</v>
      </c>
      <c r="C71" s="10" t="s">
        <v>478</v>
      </c>
      <c r="D71" s="10" t="s">
        <v>478</v>
      </c>
      <c r="F71" s="10" t="s">
        <v>478</v>
      </c>
      <c r="G71" s="10" t="s">
        <v>519</v>
      </c>
      <c r="H71" s="10" t="s">
        <v>527</v>
      </c>
      <c r="J71" s="10" t="s">
        <v>530</v>
      </c>
      <c r="K71" s="10" t="s">
        <v>591</v>
      </c>
      <c r="L71" s="10" t="s">
        <v>591</v>
      </c>
    </row>
    <row r="72" spans="2:12">
      <c r="B72" s="13" t="s">
        <v>417</v>
      </c>
      <c r="C72" s="13" t="s">
        <v>479</v>
      </c>
      <c r="D72" s="13" t="s">
        <v>479</v>
      </c>
      <c r="F72" s="13" t="s">
        <v>479</v>
      </c>
      <c r="G72" s="13" t="s">
        <v>519</v>
      </c>
      <c r="H72" s="13" t="s">
        <v>521</v>
      </c>
      <c r="J72" s="13" t="s">
        <v>530</v>
      </c>
      <c r="K72" s="13" t="s">
        <v>592</v>
      </c>
      <c r="L72" s="13" t="s">
        <v>592</v>
      </c>
    </row>
    <row r="73" spans="2:12">
      <c r="B73" s="10" t="s">
        <v>417</v>
      </c>
      <c r="C73" s="10" t="s">
        <v>480</v>
      </c>
      <c r="D73" s="10" t="s">
        <v>480</v>
      </c>
      <c r="F73" s="10" t="s">
        <v>480</v>
      </c>
      <c r="G73" s="10" t="s">
        <v>519</v>
      </c>
      <c r="H73" s="10" t="s">
        <v>528</v>
      </c>
      <c r="J73" s="10" t="s">
        <v>530</v>
      </c>
      <c r="K73" s="10" t="s">
        <v>593</v>
      </c>
      <c r="L73" s="10" t="s">
        <v>593</v>
      </c>
    </row>
    <row r="74" spans="2:12">
      <c r="B74" s="13" t="s">
        <v>417</v>
      </c>
      <c r="C74" s="13" t="s">
        <v>481</v>
      </c>
      <c r="D74" s="13" t="s">
        <v>481</v>
      </c>
      <c r="F74" s="13" t="s">
        <v>481</v>
      </c>
      <c r="G74" s="13" t="s">
        <v>519</v>
      </c>
      <c r="H74" s="13" t="s">
        <v>528</v>
      </c>
      <c r="J74" s="13" t="s">
        <v>530</v>
      </c>
      <c r="K74" s="13" t="s">
        <v>594</v>
      </c>
      <c r="L74" s="13" t="s">
        <v>594</v>
      </c>
    </row>
    <row r="75" spans="2:12">
      <c r="B75" s="10" t="s">
        <v>417</v>
      </c>
      <c r="C75" s="10" t="s">
        <v>482</v>
      </c>
      <c r="D75" s="10" t="s">
        <v>482</v>
      </c>
      <c r="F75" s="10" t="s">
        <v>482</v>
      </c>
      <c r="G75" s="10" t="s">
        <v>519</v>
      </c>
      <c r="H75" s="10" t="s">
        <v>526</v>
      </c>
      <c r="J75" s="10" t="s">
        <v>530</v>
      </c>
      <c r="K75" s="10" t="s">
        <v>595</v>
      </c>
      <c r="L75" s="10" t="s">
        <v>595</v>
      </c>
    </row>
    <row r="76" spans="2:12">
      <c r="B76" s="13" t="s">
        <v>417</v>
      </c>
      <c r="C76" s="13" t="s">
        <v>483</v>
      </c>
      <c r="D76" s="13" t="s">
        <v>483</v>
      </c>
      <c r="F76" s="13" t="s">
        <v>483</v>
      </c>
      <c r="G76" s="13" t="s">
        <v>519</v>
      </c>
      <c r="H76" s="13" t="s">
        <v>522</v>
      </c>
      <c r="J76" s="13" t="s">
        <v>530</v>
      </c>
      <c r="K76" s="13" t="s">
        <v>596</v>
      </c>
      <c r="L76" s="13" t="s">
        <v>596</v>
      </c>
    </row>
    <row r="77" spans="2:12">
      <c r="B77" s="10" t="s">
        <v>417</v>
      </c>
      <c r="C77" s="10" t="s">
        <v>484</v>
      </c>
      <c r="D77" s="10" t="s">
        <v>484</v>
      </c>
      <c r="F77" s="10" t="s">
        <v>484</v>
      </c>
      <c r="G77" s="10" t="s">
        <v>519</v>
      </c>
      <c r="H77" s="10" t="s">
        <v>529</v>
      </c>
      <c r="J77" s="10" t="s">
        <v>530</v>
      </c>
      <c r="K77" s="10" t="s">
        <v>597</v>
      </c>
      <c r="L77" s="10" t="s">
        <v>597</v>
      </c>
    </row>
    <row r="78" spans="2:12">
      <c r="B78" s="13" t="s">
        <v>417</v>
      </c>
      <c r="C78" s="13" t="s">
        <v>485</v>
      </c>
      <c r="D78" s="13" t="s">
        <v>485</v>
      </c>
      <c r="F78" s="13" t="s">
        <v>485</v>
      </c>
      <c r="G78" s="13" t="s">
        <v>519</v>
      </c>
      <c r="H78" s="13" t="s">
        <v>529</v>
      </c>
      <c r="J78" s="13" t="s">
        <v>530</v>
      </c>
      <c r="K78" s="13" t="s">
        <v>598</v>
      </c>
      <c r="L78" s="13" t="s">
        <v>598</v>
      </c>
    </row>
    <row r="79" spans="2:12">
      <c r="B79" s="10" t="s">
        <v>417</v>
      </c>
      <c r="C79" s="10" t="s">
        <v>486</v>
      </c>
      <c r="D79" s="10" t="s">
        <v>486</v>
      </c>
      <c r="F79" s="10" t="s">
        <v>486</v>
      </c>
      <c r="G79" s="10" t="s">
        <v>519</v>
      </c>
      <c r="H79" s="10" t="s">
        <v>529</v>
      </c>
      <c r="J79" s="10" t="s">
        <v>530</v>
      </c>
      <c r="K79" s="10" t="s">
        <v>599</v>
      </c>
      <c r="L79" s="10" t="s">
        <v>599</v>
      </c>
    </row>
    <row r="80" spans="2:12">
      <c r="B80" s="13" t="s">
        <v>417</v>
      </c>
      <c r="C80" s="13" t="s">
        <v>487</v>
      </c>
      <c r="D80" s="13" t="s">
        <v>487</v>
      </c>
      <c r="F80" s="13" t="s">
        <v>487</v>
      </c>
      <c r="G80" s="13" t="s">
        <v>519</v>
      </c>
      <c r="H80" s="13" t="s">
        <v>529</v>
      </c>
      <c r="J80" s="13" t="s">
        <v>530</v>
      </c>
      <c r="K80" s="13" t="s">
        <v>600</v>
      </c>
      <c r="L80" s="13" t="s">
        <v>600</v>
      </c>
    </row>
    <row r="81" spans="2:12">
      <c r="B81" s="10" t="s">
        <v>417</v>
      </c>
      <c r="C81" s="10" t="s">
        <v>488</v>
      </c>
      <c r="D81" s="10" t="s">
        <v>488</v>
      </c>
      <c r="F81" s="10" t="s">
        <v>488</v>
      </c>
      <c r="G81" s="10" t="s">
        <v>519</v>
      </c>
      <c r="H81" s="10" t="s">
        <v>529</v>
      </c>
      <c r="J81" s="10" t="s">
        <v>530</v>
      </c>
      <c r="K81" s="10" t="s">
        <v>601</v>
      </c>
      <c r="L81" s="10" t="s">
        <v>601</v>
      </c>
    </row>
    <row r="82" spans="2:12">
      <c r="B82" s="13" t="s">
        <v>417</v>
      </c>
      <c r="C82" s="13" t="s">
        <v>489</v>
      </c>
      <c r="D82" s="13" t="s">
        <v>489</v>
      </c>
      <c r="F82" s="13" t="s">
        <v>489</v>
      </c>
      <c r="G82" s="13" t="s">
        <v>519</v>
      </c>
      <c r="H82" s="13" t="s">
        <v>529</v>
      </c>
      <c r="J82" s="13" t="s">
        <v>530</v>
      </c>
      <c r="K82" s="13" t="s">
        <v>602</v>
      </c>
      <c r="L82" s="13" t="s">
        <v>602</v>
      </c>
    </row>
    <row r="83" spans="2:12">
      <c r="B83" s="10" t="s">
        <v>417</v>
      </c>
      <c r="C83" s="10" t="s">
        <v>490</v>
      </c>
      <c r="D83" s="10" t="s">
        <v>490</v>
      </c>
      <c r="F83" s="10" t="s">
        <v>490</v>
      </c>
      <c r="G83" s="10" t="s">
        <v>519</v>
      </c>
      <c r="H83" s="10" t="s">
        <v>529</v>
      </c>
      <c r="J83" s="10" t="s">
        <v>530</v>
      </c>
      <c r="K83" s="10" t="s">
        <v>603</v>
      </c>
      <c r="L83" s="10" t="s">
        <v>603</v>
      </c>
    </row>
    <row r="84" spans="2:12">
      <c r="B84" s="13" t="s">
        <v>417</v>
      </c>
      <c r="C84" s="13" t="s">
        <v>491</v>
      </c>
      <c r="D84" s="13" t="s">
        <v>491</v>
      </c>
      <c r="F84" s="13" t="s">
        <v>491</v>
      </c>
      <c r="G84" s="13" t="s">
        <v>519</v>
      </c>
      <c r="H84" s="13" t="s">
        <v>529</v>
      </c>
      <c r="J84" s="13" t="s">
        <v>530</v>
      </c>
      <c r="K84" s="13" t="s">
        <v>604</v>
      </c>
      <c r="L84" s="13" t="s">
        <v>604</v>
      </c>
    </row>
    <row r="85" spans="2:12">
      <c r="B85" s="10" t="s">
        <v>417</v>
      </c>
      <c r="C85" s="10" t="s">
        <v>492</v>
      </c>
      <c r="D85" s="10" t="s">
        <v>492</v>
      </c>
      <c r="F85" s="10" t="s">
        <v>492</v>
      </c>
      <c r="G85" s="10" t="s">
        <v>519</v>
      </c>
      <c r="H85" s="10" t="s">
        <v>529</v>
      </c>
      <c r="J85" s="10" t="s">
        <v>530</v>
      </c>
      <c r="K85" s="10" t="s">
        <v>605</v>
      </c>
      <c r="L85" s="10" t="s">
        <v>605</v>
      </c>
    </row>
    <row r="86" spans="2:12">
      <c r="B86" s="13" t="s">
        <v>417</v>
      </c>
      <c r="C86" s="13" t="s">
        <v>493</v>
      </c>
      <c r="D86" s="13" t="s">
        <v>493</v>
      </c>
      <c r="F86" s="13" t="s">
        <v>493</v>
      </c>
      <c r="G86" s="13" t="s">
        <v>519</v>
      </c>
      <c r="H86" s="13" t="s">
        <v>522</v>
      </c>
      <c r="J86" s="13" t="s">
        <v>530</v>
      </c>
      <c r="K86" s="13" t="s">
        <v>606</v>
      </c>
      <c r="L86" s="13" t="s">
        <v>606</v>
      </c>
    </row>
    <row r="87" spans="2:12">
      <c r="B87" s="10" t="s">
        <v>417</v>
      </c>
      <c r="C87" s="10" t="s">
        <v>494</v>
      </c>
      <c r="D87" s="10" t="s">
        <v>494</v>
      </c>
      <c r="F87" s="10" t="s">
        <v>494</v>
      </c>
      <c r="G87" s="10" t="s">
        <v>519</v>
      </c>
      <c r="H87" s="10" t="s">
        <v>529</v>
      </c>
      <c r="J87" s="10" t="s">
        <v>530</v>
      </c>
      <c r="K87" s="10" t="s">
        <v>607</v>
      </c>
      <c r="L87" s="10" t="s">
        <v>607</v>
      </c>
    </row>
    <row r="88" spans="2:12">
      <c r="B88" s="13" t="s">
        <v>417</v>
      </c>
      <c r="C88" s="13" t="s">
        <v>495</v>
      </c>
      <c r="D88" s="13" t="s">
        <v>495</v>
      </c>
      <c r="F88" s="13" t="s">
        <v>495</v>
      </c>
      <c r="G88" s="13" t="s">
        <v>519</v>
      </c>
      <c r="H88" s="13" t="s">
        <v>529</v>
      </c>
      <c r="J88" s="13" t="s">
        <v>530</v>
      </c>
      <c r="K88" s="13" t="s">
        <v>608</v>
      </c>
      <c r="L88" s="13" t="s">
        <v>608</v>
      </c>
    </row>
    <row r="89" spans="2:12">
      <c r="B89" s="10" t="s">
        <v>417</v>
      </c>
      <c r="C89" s="10" t="s">
        <v>496</v>
      </c>
      <c r="D89" s="10" t="s">
        <v>496</v>
      </c>
      <c r="F89" s="10" t="s">
        <v>496</v>
      </c>
      <c r="G89" s="10" t="s">
        <v>519</v>
      </c>
      <c r="H89" s="10" t="s">
        <v>529</v>
      </c>
      <c r="J89" s="10" t="s">
        <v>530</v>
      </c>
      <c r="K89" s="10" t="s">
        <v>609</v>
      </c>
      <c r="L89" s="10" t="s">
        <v>609</v>
      </c>
    </row>
    <row r="90" spans="2:12">
      <c r="B90" s="13" t="s">
        <v>417</v>
      </c>
      <c r="C90" s="13" t="s">
        <v>497</v>
      </c>
      <c r="D90" s="13" t="s">
        <v>497</v>
      </c>
      <c r="F90" s="13" t="s">
        <v>497</v>
      </c>
      <c r="G90" s="13" t="s">
        <v>519</v>
      </c>
      <c r="H90" s="13" t="s">
        <v>529</v>
      </c>
      <c r="J90" s="13" t="s">
        <v>530</v>
      </c>
      <c r="K90" s="13" t="s">
        <v>610</v>
      </c>
      <c r="L90" s="13" t="s">
        <v>610</v>
      </c>
    </row>
    <row r="91" spans="2:12">
      <c r="B91" s="10" t="s">
        <v>417</v>
      </c>
      <c r="C91" s="10" t="s">
        <v>498</v>
      </c>
      <c r="D91" s="10" t="s">
        <v>498</v>
      </c>
      <c r="F91" s="10" t="s">
        <v>498</v>
      </c>
      <c r="G91" s="10" t="s">
        <v>519</v>
      </c>
      <c r="H91" s="10" t="s">
        <v>529</v>
      </c>
      <c r="J91" s="10" t="s">
        <v>530</v>
      </c>
      <c r="K91" s="10" t="s">
        <v>611</v>
      </c>
      <c r="L91" s="10" t="s">
        <v>611</v>
      </c>
    </row>
    <row r="92" spans="2:12">
      <c r="B92" s="13" t="s">
        <v>417</v>
      </c>
      <c r="C92" s="13" t="s">
        <v>499</v>
      </c>
      <c r="D92" s="13" t="s">
        <v>499</v>
      </c>
      <c r="F92" s="13" t="s">
        <v>499</v>
      </c>
      <c r="G92" s="13" t="s">
        <v>519</v>
      </c>
      <c r="H92" s="13" t="s">
        <v>529</v>
      </c>
      <c r="J92" s="13" t="s">
        <v>530</v>
      </c>
      <c r="K92" s="13" t="s">
        <v>612</v>
      </c>
      <c r="L92" s="13" t="s">
        <v>612</v>
      </c>
    </row>
    <row r="93" spans="2:12">
      <c r="B93" s="10" t="s">
        <v>417</v>
      </c>
      <c r="C93" s="10" t="s">
        <v>500</v>
      </c>
      <c r="D93" s="10" t="s">
        <v>500</v>
      </c>
      <c r="F93" s="10" t="s">
        <v>500</v>
      </c>
      <c r="G93" s="10" t="s">
        <v>519</v>
      </c>
      <c r="H93" s="10" t="s">
        <v>529</v>
      </c>
      <c r="J93" s="10" t="s">
        <v>530</v>
      </c>
      <c r="K93" s="10" t="s">
        <v>613</v>
      </c>
      <c r="L93" s="10" t="s">
        <v>613</v>
      </c>
    </row>
    <row r="94" spans="2:12">
      <c r="B94" s="13" t="s">
        <v>417</v>
      </c>
      <c r="C94" s="13" t="s">
        <v>501</v>
      </c>
      <c r="D94" s="13" t="s">
        <v>501</v>
      </c>
      <c r="F94" s="13" t="s">
        <v>501</v>
      </c>
      <c r="G94" s="13" t="s">
        <v>519</v>
      </c>
      <c r="H94" s="13" t="s">
        <v>529</v>
      </c>
      <c r="J94" s="13" t="s">
        <v>530</v>
      </c>
      <c r="K94" s="13" t="s">
        <v>614</v>
      </c>
      <c r="L94" s="13" t="s">
        <v>614</v>
      </c>
    </row>
    <row r="95" spans="2:12">
      <c r="B95" s="10" t="s">
        <v>417</v>
      </c>
      <c r="C95" s="10" t="s">
        <v>502</v>
      </c>
      <c r="D95" s="10" t="s">
        <v>502</v>
      </c>
      <c r="F95" s="10" t="s">
        <v>502</v>
      </c>
      <c r="G95" s="10" t="s">
        <v>519</v>
      </c>
      <c r="H95" s="10" t="s">
        <v>529</v>
      </c>
      <c r="J95" s="10" t="s">
        <v>530</v>
      </c>
      <c r="K95" s="10" t="s">
        <v>615</v>
      </c>
      <c r="L95" s="10" t="s">
        <v>615</v>
      </c>
    </row>
    <row r="96" spans="2:12">
      <c r="B96" s="13" t="s">
        <v>417</v>
      </c>
      <c r="C96" s="13" t="s">
        <v>503</v>
      </c>
      <c r="D96" s="13" t="s">
        <v>503</v>
      </c>
      <c r="F96" s="13" t="s">
        <v>503</v>
      </c>
      <c r="G96" s="13" t="s">
        <v>519</v>
      </c>
      <c r="H96" s="13" t="s">
        <v>529</v>
      </c>
      <c r="J96" s="13" t="s">
        <v>530</v>
      </c>
      <c r="K96" s="13" t="s">
        <v>616</v>
      </c>
      <c r="L96" s="13" t="s">
        <v>616</v>
      </c>
    </row>
    <row r="97" spans="2:12">
      <c r="B97" s="10" t="s">
        <v>417</v>
      </c>
      <c r="C97" s="10" t="s">
        <v>504</v>
      </c>
      <c r="D97" s="10" t="s">
        <v>504</v>
      </c>
      <c r="F97" s="10" t="s">
        <v>504</v>
      </c>
      <c r="G97" s="10" t="s">
        <v>519</v>
      </c>
      <c r="H97" s="10" t="s">
        <v>529</v>
      </c>
      <c r="J97" s="10" t="s">
        <v>530</v>
      </c>
      <c r="K97" s="10" t="s">
        <v>617</v>
      </c>
      <c r="L97" s="10" t="s">
        <v>617</v>
      </c>
    </row>
    <row r="98" spans="2:12">
      <c r="B98" s="13" t="s">
        <v>417</v>
      </c>
      <c r="C98" s="13" t="s">
        <v>505</v>
      </c>
      <c r="D98" s="13" t="s">
        <v>505</v>
      </c>
      <c r="F98" s="13" t="s">
        <v>505</v>
      </c>
      <c r="G98" s="13" t="s">
        <v>519</v>
      </c>
      <c r="H98" s="13" t="s">
        <v>529</v>
      </c>
      <c r="J98" s="13" t="s">
        <v>530</v>
      </c>
      <c r="K98" s="13" t="s">
        <v>618</v>
      </c>
      <c r="L98" s="13" t="s">
        <v>618</v>
      </c>
    </row>
    <row r="99" spans="2:12">
      <c r="B99" s="10" t="s">
        <v>417</v>
      </c>
      <c r="C99" s="10" t="s">
        <v>506</v>
      </c>
      <c r="D99" s="10" t="s">
        <v>506</v>
      </c>
      <c r="F99" s="10" t="s">
        <v>506</v>
      </c>
      <c r="G99" s="10" t="s">
        <v>519</v>
      </c>
      <c r="H99" s="10" t="s">
        <v>529</v>
      </c>
      <c r="J99" s="10" t="s">
        <v>530</v>
      </c>
      <c r="K99" s="10" t="s">
        <v>619</v>
      </c>
      <c r="L99" s="10" t="s">
        <v>619</v>
      </c>
    </row>
    <row r="100" spans="2:12">
      <c r="B100" s="13" t="s">
        <v>417</v>
      </c>
      <c r="C100" s="13" t="s">
        <v>507</v>
      </c>
      <c r="D100" s="13" t="s">
        <v>507</v>
      </c>
      <c r="F100" s="13" t="s">
        <v>507</v>
      </c>
      <c r="G100" s="13" t="s">
        <v>519</v>
      </c>
      <c r="H100" s="13" t="s">
        <v>529</v>
      </c>
      <c r="J100" s="13" t="s">
        <v>530</v>
      </c>
      <c r="K100" s="13" t="s">
        <v>620</v>
      </c>
      <c r="L100" s="13" t="s">
        <v>620</v>
      </c>
    </row>
    <row r="101" spans="2:12">
      <c r="B101" s="10" t="s">
        <v>417</v>
      </c>
      <c r="C101" s="10" t="s">
        <v>508</v>
      </c>
      <c r="D101" s="10" t="s">
        <v>508</v>
      </c>
      <c r="F101" s="10" t="s">
        <v>508</v>
      </c>
      <c r="G101" s="10" t="s">
        <v>519</v>
      </c>
      <c r="H101" s="10" t="s">
        <v>529</v>
      </c>
      <c r="J101" s="10" t="s">
        <v>530</v>
      </c>
      <c r="K101" s="10" t="s">
        <v>621</v>
      </c>
      <c r="L101" s="10" t="s">
        <v>621</v>
      </c>
    </row>
    <row r="102" spans="2:12">
      <c r="B102" s="13" t="s">
        <v>417</v>
      </c>
      <c r="C102" s="13" t="s">
        <v>509</v>
      </c>
      <c r="D102" s="13" t="s">
        <v>509</v>
      </c>
      <c r="F102" s="13" t="s">
        <v>509</v>
      </c>
      <c r="G102" s="13" t="s">
        <v>519</v>
      </c>
      <c r="H102" s="13" t="s">
        <v>529</v>
      </c>
      <c r="J102" s="13" t="s">
        <v>530</v>
      </c>
      <c r="K102" s="13" t="s">
        <v>622</v>
      </c>
      <c r="L102" s="13" t="s">
        <v>622</v>
      </c>
    </row>
    <row r="103" spans="2:12">
      <c r="B103" s="10" t="s">
        <v>417</v>
      </c>
      <c r="C103" s="10" t="s">
        <v>510</v>
      </c>
      <c r="D103" s="10" t="s">
        <v>510</v>
      </c>
      <c r="F103" s="10" t="s">
        <v>510</v>
      </c>
      <c r="G103" s="10" t="s">
        <v>519</v>
      </c>
      <c r="H103" s="10" t="s">
        <v>529</v>
      </c>
      <c r="J103" s="10" t="s">
        <v>530</v>
      </c>
      <c r="K103" s="10" t="s">
        <v>623</v>
      </c>
      <c r="L103" s="10" t="s">
        <v>623</v>
      </c>
    </row>
    <row r="104" spans="2:12">
      <c r="B104" s="13" t="s">
        <v>417</v>
      </c>
      <c r="C104" s="13" t="s">
        <v>511</v>
      </c>
      <c r="D104" s="13" t="s">
        <v>511</v>
      </c>
      <c r="F104" s="13" t="s">
        <v>511</v>
      </c>
      <c r="G104" s="13" t="s">
        <v>519</v>
      </c>
      <c r="H104" s="13" t="s">
        <v>529</v>
      </c>
      <c r="J104" s="13" t="s">
        <v>530</v>
      </c>
      <c r="K104" s="13" t="s">
        <v>624</v>
      </c>
      <c r="L104" s="13" t="s">
        <v>624</v>
      </c>
    </row>
    <row r="105" spans="2:12">
      <c r="B105" s="10" t="s">
        <v>417</v>
      </c>
      <c r="C105" s="10" t="s">
        <v>512</v>
      </c>
      <c r="D105" s="10" t="s">
        <v>512</v>
      </c>
      <c r="F105" s="10" t="s">
        <v>512</v>
      </c>
      <c r="G105" s="10" t="s">
        <v>519</v>
      </c>
      <c r="H105" s="10" t="s">
        <v>529</v>
      </c>
      <c r="J105" s="10" t="s">
        <v>530</v>
      </c>
      <c r="K105" s="10" t="s">
        <v>625</v>
      </c>
      <c r="L105" s="10" t="s">
        <v>625</v>
      </c>
    </row>
    <row r="106" spans="2:12">
      <c r="B106" s="13" t="s">
        <v>417</v>
      </c>
      <c r="C106" s="13" t="s">
        <v>513</v>
      </c>
      <c r="D106" s="13" t="s">
        <v>513</v>
      </c>
      <c r="F106" s="13" t="s">
        <v>513</v>
      </c>
      <c r="G106" s="13" t="s">
        <v>519</v>
      </c>
      <c r="H106" s="13" t="s">
        <v>529</v>
      </c>
      <c r="J106" s="13" t="s">
        <v>530</v>
      </c>
      <c r="K106" s="13" t="s">
        <v>626</v>
      </c>
      <c r="L106" s="13" t="s">
        <v>626</v>
      </c>
    </row>
    <row r="107" spans="2:12">
      <c r="B107" s="10" t="s">
        <v>417</v>
      </c>
      <c r="C107" s="10" t="s">
        <v>514</v>
      </c>
      <c r="D107" s="10" t="s">
        <v>514</v>
      </c>
      <c r="F107" s="10" t="s">
        <v>514</v>
      </c>
      <c r="G107" s="10" t="s">
        <v>519</v>
      </c>
      <c r="H107" s="10" t="s">
        <v>529</v>
      </c>
      <c r="J107" s="10" t="s">
        <v>530</v>
      </c>
      <c r="K107" s="10" t="s">
        <v>627</v>
      </c>
      <c r="L107" s="10" t="s">
        <v>627</v>
      </c>
    </row>
    <row r="108" spans="2:12">
      <c r="B108" s="13" t="s">
        <v>417</v>
      </c>
      <c r="C108" s="13" t="s">
        <v>515</v>
      </c>
      <c r="D108" s="13" t="s">
        <v>515</v>
      </c>
      <c r="F108" s="13" t="s">
        <v>515</v>
      </c>
      <c r="G108" s="13" t="s">
        <v>519</v>
      </c>
      <c r="H108" s="13" t="s">
        <v>529</v>
      </c>
      <c r="J108" s="13" t="s">
        <v>530</v>
      </c>
      <c r="K108" s="13" t="s">
        <v>628</v>
      </c>
      <c r="L108" s="13" t="s">
        <v>628</v>
      </c>
    </row>
    <row r="109" spans="2:12">
      <c r="B109" s="10" t="s">
        <v>417</v>
      </c>
      <c r="C109" s="10" t="s">
        <v>516</v>
      </c>
      <c r="D109" s="10" t="s">
        <v>516</v>
      </c>
      <c r="F109" s="10" t="s">
        <v>516</v>
      </c>
      <c r="G109" s="10" t="s">
        <v>519</v>
      </c>
      <c r="H109" s="10" t="s">
        <v>529</v>
      </c>
      <c r="J109" s="10" t="s">
        <v>530</v>
      </c>
      <c r="K109" s="10" t="s">
        <v>629</v>
      </c>
      <c r="L109" s="10" t="s">
        <v>629</v>
      </c>
    </row>
    <row r="110" spans="2:12">
      <c r="B110" s="13" t="s">
        <v>417</v>
      </c>
      <c r="C110" s="13" t="s">
        <v>517</v>
      </c>
      <c r="D110" s="13" t="s">
        <v>517</v>
      </c>
      <c r="F110" s="13" t="s">
        <v>517</v>
      </c>
      <c r="G110" s="13" t="s">
        <v>519</v>
      </c>
      <c r="H110" s="13" t="s">
        <v>529</v>
      </c>
      <c r="J110" s="13" t="s">
        <v>530</v>
      </c>
      <c r="K110" s="13" t="s">
        <v>630</v>
      </c>
      <c r="L110" s="13" t="s">
        <v>630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81"/>
  <sheetViews>
    <sheetView workbookViewId="0">
      <pane ySplit="2" topLeftCell="A46" activePane="bottomLeft" state="frozen"/>
      <selection pane="bottomLeft" activeCell="A76" sqref="A76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108</v>
      </c>
      <c r="B3" t="s">
        <v>109</v>
      </c>
      <c r="C3" t="s">
        <v>110</v>
      </c>
    </row>
    <row r="4" spans="1:7">
      <c r="A4" t="s">
        <v>108</v>
      </c>
      <c r="B4" t="s">
        <v>111</v>
      </c>
      <c r="C4" t="s">
        <v>112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23" si="0">D6</f>
        <v>OCGT</v>
      </c>
      <c r="D6" t="s">
        <v>331</v>
      </c>
    </row>
    <row r="7" spans="1:7">
      <c r="A7" t="s">
        <v>62</v>
      </c>
      <c r="C7" t="str">
        <f t="shared" si="0"/>
        <v>Gas_Oil_Steam</v>
      </c>
      <c r="D7" t="s">
        <v>332</v>
      </c>
    </row>
    <row r="8" spans="1:7">
      <c r="A8" t="s">
        <v>62</v>
      </c>
      <c r="C8" t="str">
        <f t="shared" si="0"/>
        <v>Int_Comb</v>
      </c>
      <c r="D8" t="s">
        <v>333</v>
      </c>
    </row>
    <row r="9" spans="1:7">
      <c r="A9" t="s">
        <v>62</v>
      </c>
      <c r="C9" t="str">
        <f t="shared" si="0"/>
        <v>Subcrit_Coal</v>
      </c>
      <c r="D9" t="s">
        <v>334</v>
      </c>
    </row>
    <row r="10" spans="1:7">
      <c r="A10" t="s">
        <v>62</v>
      </c>
      <c r="C10" t="str">
        <f t="shared" si="0"/>
        <v>Supercrit_Coal</v>
      </c>
      <c r="D10" t="s">
        <v>335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CHP_Gas</v>
      </c>
      <c r="D12" t="s">
        <v>336</v>
      </c>
    </row>
    <row r="13" spans="1:7">
      <c r="A13" t="s">
        <v>62</v>
      </c>
      <c r="C13" t="str">
        <f t="shared" si="0"/>
        <v>CHP_Coal</v>
      </c>
      <c r="D13" t="s">
        <v>337</v>
      </c>
    </row>
    <row r="14" spans="1:7">
      <c r="A14" t="s">
        <v>62</v>
      </c>
      <c r="C14" t="str">
        <f t="shared" si="0"/>
        <v>CHP_Bio</v>
      </c>
      <c r="D14" t="s">
        <v>338</v>
      </c>
    </row>
    <row r="15" spans="1:7">
      <c r="A15" t="s">
        <v>62</v>
      </c>
      <c r="C15" t="str">
        <f t="shared" si="0"/>
        <v>HOP_Gas</v>
      </c>
      <c r="D15" t="s">
        <v>339</v>
      </c>
    </row>
    <row r="16" spans="1:7">
      <c r="A16" t="s">
        <v>62</v>
      </c>
      <c r="C16" t="str">
        <f t="shared" si="0"/>
        <v>HOP_Bio</v>
      </c>
      <c r="D16" t="s">
        <v>340</v>
      </c>
    </row>
    <row r="17" spans="1:4">
      <c r="A17" t="s">
        <v>62</v>
      </c>
      <c r="C17" t="str">
        <f t="shared" si="0"/>
        <v>HOP_Elec</v>
      </c>
      <c r="D17" t="s">
        <v>341</v>
      </c>
    </row>
    <row r="18" spans="1:4">
      <c r="A18" t="s">
        <v>62</v>
      </c>
      <c r="C18" t="str">
        <f t="shared" si="0"/>
        <v>Heat_Pump</v>
      </c>
      <c r="D18" t="s">
        <v>342</v>
      </c>
    </row>
    <row r="19" spans="1:4">
      <c r="A19" t="s">
        <v>62</v>
      </c>
      <c r="C19" t="str">
        <f t="shared" si="0"/>
        <v>Bio_Power</v>
      </c>
      <c r="D19" t="s">
        <v>343</v>
      </c>
    </row>
    <row r="20" spans="1:4">
      <c r="A20" t="s">
        <v>62</v>
      </c>
      <c r="C20" t="str">
        <f t="shared" si="0"/>
        <v>Solar_Util</v>
      </c>
      <c r="D20" t="s">
        <v>344</v>
      </c>
    </row>
    <row r="21" spans="1:4">
      <c r="A21" t="s">
        <v>62</v>
      </c>
      <c r="C21" t="str">
        <f t="shared" si="0"/>
        <v>Wind_Onshore</v>
      </c>
      <c r="D21" t="s">
        <v>345</v>
      </c>
    </row>
    <row r="22" spans="1:4">
      <c r="A22" t="s">
        <v>62</v>
      </c>
      <c r="C22" t="str">
        <f t="shared" si="0"/>
        <v>Wind_Offshore</v>
      </c>
      <c r="D22" t="s">
        <v>346</v>
      </c>
    </row>
    <row r="23" spans="1:4">
      <c r="A23" t="s">
        <v>62</v>
      </c>
      <c r="C23" t="str">
        <f t="shared" si="0"/>
        <v>Geothermal</v>
      </c>
      <c r="D23" t="s">
        <v>347</v>
      </c>
    </row>
    <row r="24" spans="1:4">
      <c r="A24" t="s">
        <v>62</v>
      </c>
      <c r="C24" t="str">
        <f t="shared" ref="C24:C30" si="1">D24</f>
        <v>Hydro_Dam</v>
      </c>
      <c r="D24" t="s">
        <v>348</v>
      </c>
    </row>
    <row r="25" spans="1:4">
      <c r="A25" t="s">
        <v>62</v>
      </c>
      <c r="C25" t="str">
        <f t="shared" si="1"/>
        <v>Hydro_RoR</v>
      </c>
      <c r="D25" t="s">
        <v>349</v>
      </c>
    </row>
    <row r="26" spans="1:4">
      <c r="A26" t="s">
        <v>62</v>
      </c>
      <c r="C26" t="str">
        <f t="shared" si="1"/>
        <v>Nuclear_P</v>
      </c>
      <c r="D26" t="s">
        <v>350</v>
      </c>
    </row>
    <row r="27" spans="1:4">
      <c r="A27" t="s">
        <v>62</v>
      </c>
      <c r="C27" t="str">
        <f t="shared" si="1"/>
        <v>Nuclear_SMR</v>
      </c>
      <c r="D27" t="s">
        <v>351</v>
      </c>
    </row>
    <row r="28" spans="1:4">
      <c r="A28" t="s">
        <v>62</v>
      </c>
      <c r="C28" t="str">
        <f t="shared" si="1"/>
        <v>Hydro_PS</v>
      </c>
      <c r="D28" t="s">
        <v>352</v>
      </c>
    </row>
    <row r="29" spans="1:4">
      <c r="A29" t="s">
        <v>62</v>
      </c>
      <c r="C29" t="str">
        <f t="shared" si="1"/>
        <v>Batt_Util</v>
      </c>
      <c r="D29" t="s">
        <v>353</v>
      </c>
    </row>
    <row r="30" spans="1:4">
      <c r="A30" t="s">
        <v>62</v>
      </c>
      <c r="C30" t="str">
        <f t="shared" si="1"/>
        <v>Batt_EV</v>
      </c>
      <c r="D30" t="s">
        <v>354</v>
      </c>
    </row>
    <row r="31" spans="1:4">
      <c r="A31" t="s">
        <v>62</v>
      </c>
      <c r="C31" t="str">
        <f>D31</f>
        <v>Demand</v>
      </c>
      <c r="D31" t="s">
        <v>137</v>
      </c>
    </row>
    <row r="32" spans="1:4">
      <c r="A32" t="s">
        <v>62</v>
      </c>
      <c r="C32" t="str">
        <f>D32</f>
        <v>Transformers Dn</v>
      </c>
      <c r="D32" t="s">
        <v>161</v>
      </c>
    </row>
    <row r="33" spans="1:6">
      <c r="A33" t="s">
        <v>62</v>
      </c>
      <c r="C33" t="str">
        <f>D33</f>
        <v>Transformers Up</v>
      </c>
      <c r="D33" t="s">
        <v>162</v>
      </c>
    </row>
    <row r="34" spans="1:6">
      <c r="A34" t="s">
        <v>62</v>
      </c>
      <c r="C34" t="str">
        <f>D34</f>
        <v>Aggregators</v>
      </c>
      <c r="D34" t="s">
        <v>159</v>
      </c>
    </row>
    <row r="35" spans="1:6">
      <c r="A35" t="s">
        <v>62</v>
      </c>
      <c r="C35" t="str">
        <f>D35</f>
        <v>DUMMY_IMP</v>
      </c>
      <c r="D35" t="s">
        <v>160</v>
      </c>
    </row>
    <row r="36" spans="1:6">
      <c r="A36" t="s">
        <v>62</v>
      </c>
      <c r="C36" t="s">
        <v>118</v>
      </c>
      <c r="E36" t="s">
        <v>122</v>
      </c>
      <c r="F36" t="s">
        <v>355</v>
      </c>
    </row>
    <row r="37" spans="1:6">
      <c r="A37" t="s">
        <v>62</v>
      </c>
      <c r="C37" t="s">
        <v>119</v>
      </c>
      <c r="E37" t="s">
        <v>123</v>
      </c>
      <c r="F37" t="s">
        <v>355</v>
      </c>
    </row>
    <row r="38" spans="1:6">
      <c r="A38" t="s">
        <v>62</v>
      </c>
      <c r="B38" t="s">
        <v>280</v>
      </c>
      <c r="C38" t="s">
        <v>120</v>
      </c>
      <c r="E38" t="s">
        <v>122</v>
      </c>
    </row>
    <row r="39" spans="1:6">
      <c r="A39" t="s">
        <v>62</v>
      </c>
      <c r="B39" t="s">
        <v>280</v>
      </c>
      <c r="C39" t="s">
        <v>121</v>
      </c>
      <c r="E39" t="s">
        <v>123</v>
      </c>
    </row>
    <row r="40" spans="1:6">
      <c r="A40" t="s">
        <v>62</v>
      </c>
      <c r="B40" t="s">
        <v>91</v>
      </c>
      <c r="C40" t="s">
        <v>3</v>
      </c>
    </row>
    <row r="41" spans="1:6">
      <c r="A41" t="s">
        <v>62</v>
      </c>
      <c r="B41" t="s">
        <v>92</v>
      </c>
      <c r="C41" t="s">
        <v>93</v>
      </c>
    </row>
    <row r="42" spans="1:6">
      <c r="A42" t="s">
        <v>62</v>
      </c>
      <c r="B42" t="s">
        <v>104</v>
      </c>
      <c r="C42" t="s">
        <v>105</v>
      </c>
    </row>
    <row r="43" spans="1:6">
      <c r="A43" t="s">
        <v>194</v>
      </c>
      <c r="B43" t="s">
        <v>109</v>
      </c>
      <c r="C43" t="s">
        <v>36</v>
      </c>
    </row>
    <row r="44" spans="1:6">
      <c r="A44" t="s">
        <v>194</v>
      </c>
      <c r="B44" t="s">
        <v>359</v>
      </c>
      <c r="C44" t="s">
        <v>358</v>
      </c>
    </row>
    <row r="45" spans="1:6">
      <c r="A45" t="s">
        <v>194</v>
      </c>
      <c r="B45" t="s">
        <v>360</v>
      </c>
      <c r="C45" t="s">
        <v>357</v>
      </c>
    </row>
    <row r="46" spans="1:6">
      <c r="A46" t="s">
        <v>194</v>
      </c>
      <c r="B46" t="s">
        <v>356</v>
      </c>
      <c r="C46" t="s">
        <v>357</v>
      </c>
    </row>
    <row r="47" spans="1:6">
      <c r="A47" t="s">
        <v>194</v>
      </c>
      <c r="B47" t="s">
        <v>195</v>
      </c>
      <c r="C47" t="s">
        <v>89</v>
      </c>
    </row>
    <row r="48" spans="1:6">
      <c r="A48" t="s">
        <v>194</v>
      </c>
      <c r="B48" t="s">
        <v>196</v>
      </c>
      <c r="C48" t="s">
        <v>174</v>
      </c>
    </row>
    <row r="49" spans="1:6">
      <c r="A49" t="s">
        <v>209</v>
      </c>
      <c r="C49" t="str">
        <f>E49</f>
        <v>bioenergy</v>
      </c>
      <c r="E49" t="s">
        <v>138</v>
      </c>
    </row>
    <row r="50" spans="1:6">
      <c r="A50" t="s">
        <v>209</v>
      </c>
      <c r="C50" t="str">
        <f t="shared" ref="C50:C58" si="2">E50</f>
        <v>coal</v>
      </c>
      <c r="E50" t="s">
        <v>122</v>
      </c>
    </row>
    <row r="51" spans="1:6">
      <c r="A51" t="s">
        <v>209</v>
      </c>
      <c r="C51" t="str">
        <f t="shared" si="2"/>
        <v>gas</v>
      </c>
      <c r="E51" t="s">
        <v>123</v>
      </c>
    </row>
    <row r="52" spans="1:6">
      <c r="A52" t="s">
        <v>209</v>
      </c>
      <c r="C52" t="str">
        <f t="shared" si="2"/>
        <v>hydro</v>
      </c>
      <c r="E52" t="s">
        <v>164</v>
      </c>
    </row>
    <row r="53" spans="1:6">
      <c r="A53" t="s">
        <v>209</v>
      </c>
      <c r="C53" t="str">
        <f t="shared" si="2"/>
        <v>nuclear</v>
      </c>
      <c r="E53" t="s">
        <v>140</v>
      </c>
    </row>
    <row r="54" spans="1:6">
      <c r="A54" t="s">
        <v>209</v>
      </c>
      <c r="C54" t="str">
        <f t="shared" si="2"/>
        <v>oil</v>
      </c>
      <c r="E54" t="s">
        <v>165</v>
      </c>
    </row>
    <row r="55" spans="1:6">
      <c r="A55" t="s">
        <v>209</v>
      </c>
      <c r="C55" t="str">
        <f t="shared" si="2"/>
        <v>solar</v>
      </c>
      <c r="E55" t="s">
        <v>166</v>
      </c>
    </row>
    <row r="56" spans="1:6">
      <c r="A56" t="s">
        <v>209</v>
      </c>
      <c r="C56" t="str">
        <f t="shared" si="2"/>
        <v>windoff</v>
      </c>
      <c r="E56" t="s">
        <v>168</v>
      </c>
    </row>
    <row r="57" spans="1:6">
      <c r="A57" t="s">
        <v>209</v>
      </c>
      <c r="C57" t="str">
        <f t="shared" si="2"/>
        <v>windon</v>
      </c>
      <c r="E57" t="s">
        <v>167</v>
      </c>
    </row>
    <row r="58" spans="1:6">
      <c r="A58" t="s">
        <v>209</v>
      </c>
      <c r="C58" t="str">
        <f t="shared" si="2"/>
        <v>geothermal</v>
      </c>
      <c r="E58" t="s">
        <v>163</v>
      </c>
    </row>
    <row r="59" spans="1:6">
      <c r="A59" t="s">
        <v>209</v>
      </c>
      <c r="C59" t="s">
        <v>317</v>
      </c>
      <c r="D59" t="s">
        <v>320</v>
      </c>
    </row>
    <row r="60" spans="1:6">
      <c r="A60" t="s">
        <v>209</v>
      </c>
      <c r="C60" t="s">
        <v>318</v>
      </c>
      <c r="D60" t="s">
        <v>319</v>
      </c>
    </row>
    <row r="61" spans="1:6">
      <c r="A61" t="s">
        <v>361</v>
      </c>
      <c r="B61" t="s">
        <v>362</v>
      </c>
      <c r="C61" t="s">
        <v>363</v>
      </c>
    </row>
    <row r="62" spans="1:6">
      <c r="A62" t="s">
        <v>361</v>
      </c>
      <c r="B62" t="s">
        <v>364</v>
      </c>
      <c r="C62" t="s">
        <v>365</v>
      </c>
    </row>
    <row r="63" spans="1:6">
      <c r="A63" t="s">
        <v>62</v>
      </c>
      <c r="B63" t="s">
        <v>366</v>
      </c>
      <c r="C63" t="s">
        <v>367</v>
      </c>
      <c r="F63" t="s">
        <v>390</v>
      </c>
    </row>
    <row r="64" spans="1:6">
      <c r="A64" t="s">
        <v>62</v>
      </c>
      <c r="B64" t="s">
        <v>368</v>
      </c>
      <c r="C64" t="s">
        <v>369</v>
      </c>
      <c r="F64" t="s">
        <v>390</v>
      </c>
    </row>
    <row r="65" spans="1:6">
      <c r="A65" t="s">
        <v>62</v>
      </c>
      <c r="B65" t="s">
        <v>370</v>
      </c>
      <c r="C65" t="s">
        <v>371</v>
      </c>
      <c r="F65" t="s">
        <v>390</v>
      </c>
    </row>
    <row r="66" spans="1:6">
      <c r="A66" t="s">
        <v>62</v>
      </c>
      <c r="B66" t="s">
        <v>372</v>
      </c>
      <c r="C66" t="s">
        <v>373</v>
      </c>
      <c r="F66" t="s">
        <v>390</v>
      </c>
    </row>
    <row r="67" spans="1:6">
      <c r="A67" t="s">
        <v>62</v>
      </c>
      <c r="B67" t="s">
        <v>374</v>
      </c>
      <c r="C67" t="s">
        <v>375</v>
      </c>
      <c r="F67" t="s">
        <v>390</v>
      </c>
    </row>
    <row r="68" spans="1:6">
      <c r="A68" t="s">
        <v>62</v>
      </c>
      <c r="B68" t="s">
        <v>376</v>
      </c>
      <c r="C68" t="s">
        <v>377</v>
      </c>
      <c r="F68" t="s">
        <v>390</v>
      </c>
    </row>
    <row r="69" spans="1:6">
      <c r="A69" t="s">
        <v>62</v>
      </c>
      <c r="B69" t="s">
        <v>378</v>
      </c>
      <c r="C69" t="s">
        <v>379</v>
      </c>
      <c r="F69" t="s">
        <v>390</v>
      </c>
    </row>
    <row r="70" spans="1:6">
      <c r="A70" t="s">
        <v>62</v>
      </c>
      <c r="B70" t="s">
        <v>380</v>
      </c>
      <c r="C70" t="s">
        <v>381</v>
      </c>
      <c r="F70" t="s">
        <v>390</v>
      </c>
    </row>
    <row r="71" spans="1:6">
      <c r="A71" t="s">
        <v>62</v>
      </c>
      <c r="B71" t="s">
        <v>382</v>
      </c>
      <c r="C71" t="s">
        <v>383</v>
      </c>
      <c r="F71" t="s">
        <v>390</v>
      </c>
    </row>
    <row r="72" spans="1:6">
      <c r="A72" t="s">
        <v>62</v>
      </c>
      <c r="B72" t="s">
        <v>384</v>
      </c>
      <c r="C72" t="s">
        <v>385</v>
      </c>
      <c r="F72" t="s">
        <v>390</v>
      </c>
    </row>
    <row r="73" spans="1:6">
      <c r="A73" t="s">
        <v>62</v>
      </c>
      <c r="B73" t="s">
        <v>386</v>
      </c>
      <c r="C73" t="s">
        <v>387</v>
      </c>
      <c r="F73" t="s">
        <v>390</v>
      </c>
    </row>
    <row r="74" spans="1:6">
      <c r="A74" t="s">
        <v>62</v>
      </c>
      <c r="B74" t="s">
        <v>388</v>
      </c>
      <c r="C74" t="s">
        <v>389</v>
      </c>
      <c r="F74" t="s">
        <v>390</v>
      </c>
    </row>
    <row r="75" spans="1:6">
      <c r="A75" t="s">
        <v>393</v>
      </c>
      <c r="B75" t="s">
        <v>109</v>
      </c>
      <c r="C75" t="s">
        <v>394</v>
      </c>
    </row>
    <row r="76" spans="1:6">
      <c r="A76" t="s">
        <v>393</v>
      </c>
      <c r="B76" t="s">
        <v>395</v>
      </c>
      <c r="C76" t="s">
        <v>396</v>
      </c>
    </row>
    <row r="77" spans="1:6">
      <c r="A77" t="s">
        <v>393</v>
      </c>
      <c r="B77" t="s">
        <v>397</v>
      </c>
      <c r="C77" t="s">
        <v>398</v>
      </c>
    </row>
    <row r="78" spans="1:6">
      <c r="A78" t="s">
        <v>393</v>
      </c>
      <c r="B78" t="s">
        <v>399</v>
      </c>
      <c r="C78" t="s">
        <v>400</v>
      </c>
    </row>
    <row r="79" spans="1:6">
      <c r="A79" t="s">
        <v>393</v>
      </c>
      <c r="B79" t="s">
        <v>401</v>
      </c>
      <c r="C79" t="s">
        <v>402</v>
      </c>
    </row>
    <row r="80" spans="1:6">
      <c r="A80" t="s">
        <v>393</v>
      </c>
      <c r="B80" t="s">
        <v>403</v>
      </c>
      <c r="C80" t="s">
        <v>404</v>
      </c>
    </row>
    <row r="81" spans="1:3">
      <c r="A81" t="s">
        <v>393</v>
      </c>
      <c r="B81" t="s">
        <v>405</v>
      </c>
      <c r="C81" t="s">
        <v>406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1623"/>
  <sheetViews>
    <sheetView workbookViewId="0">
      <selection activeCell="A2" sqref="A2"/>
    </sheetView>
  </sheetViews>
  <sheetFormatPr defaultRowHeight="14.25"/>
  <cols>
    <col min="1" max="1" width="11.59765625" bestFit="1" customWidth="1"/>
    <col min="2" max="5" width="10.59765625" customWidth="1"/>
    <col min="6" max="6" width="11.73046875" bestFit="1" customWidth="1"/>
    <col min="7" max="8" width="10.59765625" customWidth="1"/>
  </cols>
  <sheetData>
    <row r="1" spans="1:8" ht="14.65" thickBot="1">
      <c r="A1" s="8" t="s">
        <v>221</v>
      </c>
    </row>
    <row r="2" spans="1:8" ht="15.75" thickBot="1">
      <c r="A2" s="9" t="s">
        <v>209</v>
      </c>
      <c r="B2" s="9" t="s">
        <v>35</v>
      </c>
      <c r="C2" s="9" t="s">
        <v>0</v>
      </c>
      <c r="D2" s="9" t="s">
        <v>407</v>
      </c>
      <c r="E2" s="9" t="s">
        <v>189</v>
      </c>
      <c r="F2" s="9" t="s">
        <v>408</v>
      </c>
      <c r="G2" s="9" t="s">
        <v>409</v>
      </c>
      <c r="H2" s="9" t="s">
        <v>410</v>
      </c>
    </row>
    <row r="3" spans="1:8">
      <c r="A3" s="10" t="s">
        <v>122</v>
      </c>
      <c r="B3" s="11">
        <v>2000</v>
      </c>
      <c r="C3" s="10" t="s">
        <v>135</v>
      </c>
      <c r="D3" s="12">
        <v>119.95</v>
      </c>
      <c r="E3" s="10" t="s">
        <v>411</v>
      </c>
      <c r="F3" s="10" t="s">
        <v>73</v>
      </c>
      <c r="G3" s="10" t="s">
        <v>412</v>
      </c>
      <c r="H3" s="10" t="s">
        <v>413</v>
      </c>
    </row>
    <row r="4" spans="1:8">
      <c r="A4" s="13" t="s">
        <v>123</v>
      </c>
      <c r="B4" s="14">
        <v>2000</v>
      </c>
      <c r="C4" s="13" t="s">
        <v>135</v>
      </c>
      <c r="D4" s="15">
        <v>148.08000000000001</v>
      </c>
      <c r="E4" s="13" t="s">
        <v>411</v>
      </c>
      <c r="F4" s="13" t="s">
        <v>73</v>
      </c>
      <c r="G4" s="13" t="s">
        <v>412</v>
      </c>
      <c r="H4" s="13" t="s">
        <v>413</v>
      </c>
    </row>
    <row r="5" spans="1:8">
      <c r="A5" s="10" t="s">
        <v>164</v>
      </c>
      <c r="B5" s="11">
        <v>2000</v>
      </c>
      <c r="C5" s="10" t="s">
        <v>135</v>
      </c>
      <c r="D5" s="12">
        <v>5.09</v>
      </c>
      <c r="E5" s="10" t="s">
        <v>411</v>
      </c>
      <c r="F5" s="10" t="s">
        <v>73</v>
      </c>
      <c r="G5" s="10" t="s">
        <v>412</v>
      </c>
      <c r="H5" s="10" t="s">
        <v>413</v>
      </c>
    </row>
    <row r="6" spans="1:8">
      <c r="A6" s="13" t="s">
        <v>140</v>
      </c>
      <c r="B6" s="14">
        <v>2000</v>
      </c>
      <c r="C6" s="13" t="s">
        <v>135</v>
      </c>
      <c r="D6" s="15">
        <v>85.06</v>
      </c>
      <c r="E6" s="13" t="s">
        <v>411</v>
      </c>
      <c r="F6" s="13" t="s">
        <v>73</v>
      </c>
      <c r="G6" s="13" t="s">
        <v>412</v>
      </c>
      <c r="H6" s="13" t="s">
        <v>413</v>
      </c>
    </row>
    <row r="7" spans="1:8">
      <c r="A7" s="10" t="s">
        <v>165</v>
      </c>
      <c r="B7" s="11">
        <v>2000</v>
      </c>
      <c r="C7" s="10" t="s">
        <v>135</v>
      </c>
      <c r="D7" s="12">
        <v>14.06</v>
      </c>
      <c r="E7" s="10" t="s">
        <v>411</v>
      </c>
      <c r="F7" s="10" t="s">
        <v>73</v>
      </c>
      <c r="G7" s="10" t="s">
        <v>412</v>
      </c>
      <c r="H7" s="10" t="s">
        <v>413</v>
      </c>
    </row>
    <row r="8" spans="1:8">
      <c r="A8" s="13" t="s">
        <v>122</v>
      </c>
      <c r="B8" s="14">
        <v>2001</v>
      </c>
      <c r="C8" s="13" t="s">
        <v>135</v>
      </c>
      <c r="D8" s="15">
        <v>131.46</v>
      </c>
      <c r="E8" s="13" t="s">
        <v>411</v>
      </c>
      <c r="F8" s="13" t="s">
        <v>73</v>
      </c>
      <c r="G8" s="13" t="s">
        <v>412</v>
      </c>
      <c r="H8" s="13" t="s">
        <v>413</v>
      </c>
    </row>
    <row r="9" spans="1:8">
      <c r="A9" s="10" t="s">
        <v>123</v>
      </c>
      <c r="B9" s="11">
        <v>2001</v>
      </c>
      <c r="C9" s="10" t="s">
        <v>135</v>
      </c>
      <c r="D9" s="12">
        <v>141.91</v>
      </c>
      <c r="E9" s="10" t="s">
        <v>411</v>
      </c>
      <c r="F9" s="10" t="s">
        <v>73</v>
      </c>
      <c r="G9" s="10" t="s">
        <v>412</v>
      </c>
      <c r="H9" s="10" t="s">
        <v>413</v>
      </c>
    </row>
    <row r="10" spans="1:8">
      <c r="A10" s="13" t="s">
        <v>164</v>
      </c>
      <c r="B10" s="14">
        <v>2001</v>
      </c>
      <c r="C10" s="13" t="s">
        <v>135</v>
      </c>
      <c r="D10" s="15">
        <v>4.05</v>
      </c>
      <c r="E10" s="13" t="s">
        <v>411</v>
      </c>
      <c r="F10" s="13" t="s">
        <v>73</v>
      </c>
      <c r="G10" s="13" t="s">
        <v>412</v>
      </c>
      <c r="H10" s="13" t="s">
        <v>413</v>
      </c>
    </row>
    <row r="11" spans="1:8">
      <c r="A11" s="10" t="s">
        <v>140</v>
      </c>
      <c r="B11" s="11">
        <v>2001</v>
      </c>
      <c r="C11" s="10" t="s">
        <v>135</v>
      </c>
      <c r="D11" s="12">
        <v>90.09</v>
      </c>
      <c r="E11" s="10" t="s">
        <v>411</v>
      </c>
      <c r="F11" s="10" t="s">
        <v>73</v>
      </c>
      <c r="G11" s="10" t="s">
        <v>412</v>
      </c>
      <c r="H11" s="10" t="s">
        <v>413</v>
      </c>
    </row>
    <row r="12" spans="1:8">
      <c r="A12" s="13" t="s">
        <v>165</v>
      </c>
      <c r="B12" s="14">
        <v>2001</v>
      </c>
      <c r="C12" s="13" t="s">
        <v>135</v>
      </c>
      <c r="D12" s="15">
        <v>11.77</v>
      </c>
      <c r="E12" s="13" t="s">
        <v>411</v>
      </c>
      <c r="F12" s="13" t="s">
        <v>73</v>
      </c>
      <c r="G12" s="13" t="s">
        <v>412</v>
      </c>
      <c r="H12" s="13" t="s">
        <v>413</v>
      </c>
    </row>
    <row r="13" spans="1:8">
      <c r="A13" s="10" t="s">
        <v>122</v>
      </c>
      <c r="B13" s="11">
        <v>2002</v>
      </c>
      <c r="C13" s="10" t="s">
        <v>135</v>
      </c>
      <c r="D13" s="12">
        <v>124.28</v>
      </c>
      <c r="E13" s="10" t="s">
        <v>411</v>
      </c>
      <c r="F13" s="10" t="s">
        <v>73</v>
      </c>
      <c r="G13" s="10" t="s">
        <v>412</v>
      </c>
      <c r="H13" s="10" t="s">
        <v>413</v>
      </c>
    </row>
    <row r="14" spans="1:8">
      <c r="A14" s="13" t="s">
        <v>123</v>
      </c>
      <c r="B14" s="14">
        <v>2002</v>
      </c>
      <c r="C14" s="13" t="s">
        <v>135</v>
      </c>
      <c r="D14" s="15">
        <v>152.28</v>
      </c>
      <c r="E14" s="13" t="s">
        <v>411</v>
      </c>
      <c r="F14" s="13" t="s">
        <v>73</v>
      </c>
      <c r="G14" s="13" t="s">
        <v>412</v>
      </c>
      <c r="H14" s="13" t="s">
        <v>413</v>
      </c>
    </row>
    <row r="15" spans="1:8">
      <c r="A15" s="10" t="s">
        <v>164</v>
      </c>
      <c r="B15" s="11">
        <v>2002</v>
      </c>
      <c r="C15" s="10" t="s">
        <v>135</v>
      </c>
      <c r="D15" s="12">
        <v>4.79</v>
      </c>
      <c r="E15" s="10" t="s">
        <v>411</v>
      </c>
      <c r="F15" s="10" t="s">
        <v>73</v>
      </c>
      <c r="G15" s="10" t="s">
        <v>412</v>
      </c>
      <c r="H15" s="10" t="s">
        <v>413</v>
      </c>
    </row>
    <row r="16" spans="1:8">
      <c r="A16" s="13" t="s">
        <v>140</v>
      </c>
      <c r="B16" s="14">
        <v>2002</v>
      </c>
      <c r="C16" s="13" t="s">
        <v>135</v>
      </c>
      <c r="D16" s="15">
        <v>87.85</v>
      </c>
      <c r="E16" s="13" t="s">
        <v>411</v>
      </c>
      <c r="F16" s="13" t="s">
        <v>73</v>
      </c>
      <c r="G16" s="13" t="s">
        <v>412</v>
      </c>
      <c r="H16" s="13" t="s">
        <v>413</v>
      </c>
    </row>
    <row r="17" spans="1:8">
      <c r="A17" s="10" t="s">
        <v>165</v>
      </c>
      <c r="B17" s="11">
        <v>2002</v>
      </c>
      <c r="C17" s="10" t="s">
        <v>135</v>
      </c>
      <c r="D17" s="12">
        <v>11.71</v>
      </c>
      <c r="E17" s="10" t="s">
        <v>411</v>
      </c>
      <c r="F17" s="10" t="s">
        <v>73</v>
      </c>
      <c r="G17" s="10" t="s">
        <v>412</v>
      </c>
      <c r="H17" s="10" t="s">
        <v>413</v>
      </c>
    </row>
    <row r="18" spans="1:8">
      <c r="A18" s="13" t="s">
        <v>122</v>
      </c>
      <c r="B18" s="14">
        <v>2003</v>
      </c>
      <c r="C18" s="13" t="s">
        <v>135</v>
      </c>
      <c r="D18" s="15">
        <v>138.46</v>
      </c>
      <c r="E18" s="13" t="s">
        <v>411</v>
      </c>
      <c r="F18" s="13" t="s">
        <v>73</v>
      </c>
      <c r="G18" s="13" t="s">
        <v>412</v>
      </c>
      <c r="H18" s="13" t="s">
        <v>413</v>
      </c>
    </row>
    <row r="19" spans="1:8">
      <c r="A19" s="10" t="s">
        <v>123</v>
      </c>
      <c r="B19" s="11">
        <v>2003</v>
      </c>
      <c r="C19" s="10" t="s">
        <v>135</v>
      </c>
      <c r="D19" s="12">
        <v>148.88</v>
      </c>
      <c r="E19" s="10" t="s">
        <v>411</v>
      </c>
      <c r="F19" s="10" t="s">
        <v>73</v>
      </c>
      <c r="G19" s="10" t="s">
        <v>412</v>
      </c>
      <c r="H19" s="10" t="s">
        <v>413</v>
      </c>
    </row>
    <row r="20" spans="1:8">
      <c r="A20" s="13" t="s">
        <v>164</v>
      </c>
      <c r="B20" s="14">
        <v>2003</v>
      </c>
      <c r="C20" s="13" t="s">
        <v>135</v>
      </c>
      <c r="D20" s="15">
        <v>3.23</v>
      </c>
      <c r="E20" s="13" t="s">
        <v>411</v>
      </c>
      <c r="F20" s="13" t="s">
        <v>73</v>
      </c>
      <c r="G20" s="13" t="s">
        <v>412</v>
      </c>
      <c r="H20" s="13" t="s">
        <v>413</v>
      </c>
    </row>
    <row r="21" spans="1:8">
      <c r="A21" s="10" t="s">
        <v>140</v>
      </c>
      <c r="B21" s="11">
        <v>2003</v>
      </c>
      <c r="C21" s="10" t="s">
        <v>135</v>
      </c>
      <c r="D21" s="12">
        <v>88.69</v>
      </c>
      <c r="E21" s="10" t="s">
        <v>411</v>
      </c>
      <c r="F21" s="10" t="s">
        <v>73</v>
      </c>
      <c r="G21" s="10" t="s">
        <v>412</v>
      </c>
      <c r="H21" s="10" t="s">
        <v>413</v>
      </c>
    </row>
    <row r="22" spans="1:8">
      <c r="A22" s="13" t="s">
        <v>165</v>
      </c>
      <c r="B22" s="14">
        <v>2003</v>
      </c>
      <c r="C22" s="13" t="s">
        <v>135</v>
      </c>
      <c r="D22" s="15">
        <v>11.49</v>
      </c>
      <c r="E22" s="13" t="s">
        <v>411</v>
      </c>
      <c r="F22" s="13" t="s">
        <v>73</v>
      </c>
      <c r="G22" s="13" t="s">
        <v>412</v>
      </c>
      <c r="H22" s="13" t="s">
        <v>413</v>
      </c>
    </row>
    <row r="23" spans="1:8">
      <c r="A23" s="10" t="s">
        <v>122</v>
      </c>
      <c r="B23" s="11">
        <v>2004</v>
      </c>
      <c r="C23" s="10" t="s">
        <v>135</v>
      </c>
      <c r="D23" s="12">
        <v>131.79</v>
      </c>
      <c r="E23" s="10" t="s">
        <v>411</v>
      </c>
      <c r="F23" s="10" t="s">
        <v>73</v>
      </c>
      <c r="G23" s="10" t="s">
        <v>412</v>
      </c>
      <c r="H23" s="10" t="s">
        <v>413</v>
      </c>
    </row>
    <row r="24" spans="1:8">
      <c r="A24" s="13" t="s">
        <v>123</v>
      </c>
      <c r="B24" s="14">
        <v>2004</v>
      </c>
      <c r="C24" s="13" t="s">
        <v>135</v>
      </c>
      <c r="D24" s="15">
        <v>157.06</v>
      </c>
      <c r="E24" s="13" t="s">
        <v>411</v>
      </c>
      <c r="F24" s="13" t="s">
        <v>73</v>
      </c>
      <c r="G24" s="13" t="s">
        <v>412</v>
      </c>
      <c r="H24" s="13" t="s">
        <v>413</v>
      </c>
    </row>
    <row r="25" spans="1:8">
      <c r="A25" s="10" t="s">
        <v>164</v>
      </c>
      <c r="B25" s="11">
        <v>2004</v>
      </c>
      <c r="C25" s="10" t="s">
        <v>135</v>
      </c>
      <c r="D25" s="12">
        <v>4.84</v>
      </c>
      <c r="E25" s="10" t="s">
        <v>411</v>
      </c>
      <c r="F25" s="10" t="s">
        <v>73</v>
      </c>
      <c r="G25" s="10" t="s">
        <v>412</v>
      </c>
      <c r="H25" s="10" t="s">
        <v>413</v>
      </c>
    </row>
    <row r="26" spans="1:8">
      <c r="A26" s="13" t="s">
        <v>140</v>
      </c>
      <c r="B26" s="14">
        <v>2004</v>
      </c>
      <c r="C26" s="13" t="s">
        <v>135</v>
      </c>
      <c r="D26" s="15">
        <v>80</v>
      </c>
      <c r="E26" s="13" t="s">
        <v>411</v>
      </c>
      <c r="F26" s="13" t="s">
        <v>73</v>
      </c>
      <c r="G26" s="13" t="s">
        <v>412</v>
      </c>
      <c r="H26" s="13" t="s">
        <v>413</v>
      </c>
    </row>
    <row r="27" spans="1:8">
      <c r="A27" s="10" t="s">
        <v>165</v>
      </c>
      <c r="B27" s="11">
        <v>2004</v>
      </c>
      <c r="C27" s="10" t="s">
        <v>135</v>
      </c>
      <c r="D27" s="12">
        <v>10.93</v>
      </c>
      <c r="E27" s="10" t="s">
        <v>411</v>
      </c>
      <c r="F27" s="10" t="s">
        <v>73</v>
      </c>
      <c r="G27" s="10" t="s">
        <v>412</v>
      </c>
      <c r="H27" s="10" t="s">
        <v>413</v>
      </c>
    </row>
    <row r="28" spans="1:8">
      <c r="A28" s="13" t="s">
        <v>122</v>
      </c>
      <c r="B28" s="14">
        <v>2005</v>
      </c>
      <c r="C28" s="13" t="s">
        <v>135</v>
      </c>
      <c r="D28" s="15">
        <v>134.63999999999999</v>
      </c>
      <c r="E28" s="13" t="s">
        <v>411</v>
      </c>
      <c r="F28" s="13" t="s">
        <v>73</v>
      </c>
      <c r="G28" s="13" t="s">
        <v>412</v>
      </c>
      <c r="H28" s="13" t="s">
        <v>413</v>
      </c>
    </row>
    <row r="29" spans="1:8">
      <c r="A29" s="10" t="s">
        <v>123</v>
      </c>
      <c r="B29" s="11">
        <v>2005</v>
      </c>
      <c r="C29" s="10" t="s">
        <v>135</v>
      </c>
      <c r="D29" s="12">
        <v>152.63999999999999</v>
      </c>
      <c r="E29" s="10" t="s">
        <v>411</v>
      </c>
      <c r="F29" s="10" t="s">
        <v>73</v>
      </c>
      <c r="G29" s="10" t="s">
        <v>412</v>
      </c>
      <c r="H29" s="10" t="s">
        <v>413</v>
      </c>
    </row>
    <row r="30" spans="1:8">
      <c r="A30" s="13" t="s">
        <v>164</v>
      </c>
      <c r="B30" s="14">
        <v>2005</v>
      </c>
      <c r="C30" s="13" t="s">
        <v>135</v>
      </c>
      <c r="D30" s="15">
        <v>4.92</v>
      </c>
      <c r="E30" s="13" t="s">
        <v>411</v>
      </c>
      <c r="F30" s="13" t="s">
        <v>73</v>
      </c>
      <c r="G30" s="13" t="s">
        <v>412</v>
      </c>
      <c r="H30" s="13" t="s">
        <v>413</v>
      </c>
    </row>
    <row r="31" spans="1:8">
      <c r="A31" s="10" t="s">
        <v>140</v>
      </c>
      <c r="B31" s="11">
        <v>2005</v>
      </c>
      <c r="C31" s="10" t="s">
        <v>135</v>
      </c>
      <c r="D31" s="12">
        <v>81.62</v>
      </c>
      <c r="E31" s="10" t="s">
        <v>411</v>
      </c>
      <c r="F31" s="10" t="s">
        <v>73</v>
      </c>
      <c r="G31" s="10" t="s">
        <v>412</v>
      </c>
      <c r="H31" s="10" t="s">
        <v>413</v>
      </c>
    </row>
    <row r="32" spans="1:8">
      <c r="A32" s="13" t="s">
        <v>165</v>
      </c>
      <c r="B32" s="14">
        <v>2005</v>
      </c>
      <c r="C32" s="13" t="s">
        <v>135</v>
      </c>
      <c r="D32" s="15">
        <v>12.52</v>
      </c>
      <c r="E32" s="13" t="s">
        <v>411</v>
      </c>
      <c r="F32" s="13" t="s">
        <v>73</v>
      </c>
      <c r="G32" s="13" t="s">
        <v>412</v>
      </c>
      <c r="H32" s="13" t="s">
        <v>413</v>
      </c>
    </row>
    <row r="33" spans="1:8">
      <c r="A33" s="10" t="s">
        <v>122</v>
      </c>
      <c r="B33" s="11">
        <v>2006</v>
      </c>
      <c r="C33" s="10" t="s">
        <v>135</v>
      </c>
      <c r="D33" s="12">
        <v>148.85</v>
      </c>
      <c r="E33" s="10" t="s">
        <v>411</v>
      </c>
      <c r="F33" s="10" t="s">
        <v>73</v>
      </c>
      <c r="G33" s="10" t="s">
        <v>412</v>
      </c>
      <c r="H33" s="10" t="s">
        <v>413</v>
      </c>
    </row>
    <row r="34" spans="1:8">
      <c r="A34" s="13" t="s">
        <v>123</v>
      </c>
      <c r="B34" s="14">
        <v>2006</v>
      </c>
      <c r="C34" s="13" t="s">
        <v>135</v>
      </c>
      <c r="D34" s="15">
        <v>140.83000000000001</v>
      </c>
      <c r="E34" s="13" t="s">
        <v>411</v>
      </c>
      <c r="F34" s="13" t="s">
        <v>73</v>
      </c>
      <c r="G34" s="13" t="s">
        <v>412</v>
      </c>
      <c r="H34" s="13" t="s">
        <v>413</v>
      </c>
    </row>
    <row r="35" spans="1:8">
      <c r="A35" s="10" t="s">
        <v>164</v>
      </c>
      <c r="B35" s="11">
        <v>2006</v>
      </c>
      <c r="C35" s="10" t="s">
        <v>135</v>
      </c>
      <c r="D35" s="12">
        <v>4.59</v>
      </c>
      <c r="E35" s="10" t="s">
        <v>411</v>
      </c>
      <c r="F35" s="10" t="s">
        <v>73</v>
      </c>
      <c r="G35" s="10" t="s">
        <v>412</v>
      </c>
      <c r="H35" s="10" t="s">
        <v>413</v>
      </c>
    </row>
    <row r="36" spans="1:8">
      <c r="A36" s="13" t="s">
        <v>140</v>
      </c>
      <c r="B36" s="14">
        <v>2006</v>
      </c>
      <c r="C36" s="13" t="s">
        <v>135</v>
      </c>
      <c r="D36" s="15">
        <v>75.45</v>
      </c>
      <c r="E36" s="13" t="s">
        <v>411</v>
      </c>
      <c r="F36" s="13" t="s">
        <v>73</v>
      </c>
      <c r="G36" s="13" t="s">
        <v>412</v>
      </c>
      <c r="H36" s="13" t="s">
        <v>413</v>
      </c>
    </row>
    <row r="37" spans="1:8">
      <c r="A37" s="10" t="s">
        <v>165</v>
      </c>
      <c r="B37" s="11">
        <v>2006</v>
      </c>
      <c r="C37" s="10" t="s">
        <v>135</v>
      </c>
      <c r="D37" s="12">
        <v>14.04</v>
      </c>
      <c r="E37" s="10" t="s">
        <v>411</v>
      </c>
      <c r="F37" s="10" t="s">
        <v>73</v>
      </c>
      <c r="G37" s="10" t="s">
        <v>412</v>
      </c>
      <c r="H37" s="10" t="s">
        <v>413</v>
      </c>
    </row>
    <row r="38" spans="1:8">
      <c r="A38" s="13" t="s">
        <v>122</v>
      </c>
      <c r="B38" s="14">
        <v>2007</v>
      </c>
      <c r="C38" s="13" t="s">
        <v>135</v>
      </c>
      <c r="D38" s="15">
        <v>135.94</v>
      </c>
      <c r="E38" s="13" t="s">
        <v>411</v>
      </c>
      <c r="F38" s="13" t="s">
        <v>73</v>
      </c>
      <c r="G38" s="13" t="s">
        <v>412</v>
      </c>
      <c r="H38" s="13" t="s">
        <v>413</v>
      </c>
    </row>
    <row r="39" spans="1:8">
      <c r="A39" s="10" t="s">
        <v>123</v>
      </c>
      <c r="B39" s="11">
        <v>2007</v>
      </c>
      <c r="C39" s="10" t="s">
        <v>135</v>
      </c>
      <c r="D39" s="12">
        <v>165.79</v>
      </c>
      <c r="E39" s="10" t="s">
        <v>411</v>
      </c>
      <c r="F39" s="10" t="s">
        <v>73</v>
      </c>
      <c r="G39" s="10" t="s">
        <v>412</v>
      </c>
      <c r="H39" s="10" t="s">
        <v>413</v>
      </c>
    </row>
    <row r="40" spans="1:8">
      <c r="A40" s="13" t="s">
        <v>164</v>
      </c>
      <c r="B40" s="14">
        <v>2007</v>
      </c>
      <c r="C40" s="13" t="s">
        <v>135</v>
      </c>
      <c r="D40" s="15">
        <v>5.08</v>
      </c>
      <c r="E40" s="13" t="s">
        <v>411</v>
      </c>
      <c r="F40" s="13" t="s">
        <v>73</v>
      </c>
      <c r="G40" s="13" t="s">
        <v>412</v>
      </c>
      <c r="H40" s="13" t="s">
        <v>413</v>
      </c>
    </row>
    <row r="41" spans="1:8">
      <c r="A41" s="10" t="s">
        <v>140</v>
      </c>
      <c r="B41" s="11">
        <v>2007</v>
      </c>
      <c r="C41" s="10" t="s">
        <v>135</v>
      </c>
      <c r="D41" s="12">
        <v>63.03</v>
      </c>
      <c r="E41" s="10" t="s">
        <v>411</v>
      </c>
      <c r="F41" s="10" t="s">
        <v>73</v>
      </c>
      <c r="G41" s="10" t="s">
        <v>412</v>
      </c>
      <c r="H41" s="10" t="s">
        <v>413</v>
      </c>
    </row>
    <row r="42" spans="1:8">
      <c r="A42" s="13" t="s">
        <v>165</v>
      </c>
      <c r="B42" s="14">
        <v>2007</v>
      </c>
      <c r="C42" s="13" t="s">
        <v>135</v>
      </c>
      <c r="D42" s="15">
        <v>12.37</v>
      </c>
      <c r="E42" s="13" t="s">
        <v>411</v>
      </c>
      <c r="F42" s="13" t="s">
        <v>73</v>
      </c>
      <c r="G42" s="13" t="s">
        <v>412</v>
      </c>
      <c r="H42" s="13" t="s">
        <v>413</v>
      </c>
    </row>
    <row r="43" spans="1:8">
      <c r="A43" s="10" t="s">
        <v>122</v>
      </c>
      <c r="B43" s="11">
        <v>2008</v>
      </c>
      <c r="C43" s="10" t="s">
        <v>135</v>
      </c>
      <c r="D43" s="12">
        <v>124.38</v>
      </c>
      <c r="E43" s="10" t="s">
        <v>411</v>
      </c>
      <c r="F43" s="10" t="s">
        <v>73</v>
      </c>
      <c r="G43" s="10" t="s">
        <v>412</v>
      </c>
      <c r="H43" s="10" t="s">
        <v>413</v>
      </c>
    </row>
    <row r="44" spans="1:8">
      <c r="A44" s="13" t="s">
        <v>123</v>
      </c>
      <c r="B44" s="14">
        <v>2008</v>
      </c>
      <c r="C44" s="13" t="s">
        <v>135</v>
      </c>
      <c r="D44" s="15">
        <v>176.22</v>
      </c>
      <c r="E44" s="13" t="s">
        <v>411</v>
      </c>
      <c r="F44" s="13" t="s">
        <v>73</v>
      </c>
      <c r="G44" s="13" t="s">
        <v>412</v>
      </c>
      <c r="H44" s="13" t="s">
        <v>413</v>
      </c>
    </row>
    <row r="45" spans="1:8">
      <c r="A45" s="10" t="s">
        <v>164</v>
      </c>
      <c r="B45" s="11">
        <v>2008</v>
      </c>
      <c r="C45" s="10" t="s">
        <v>135</v>
      </c>
      <c r="D45" s="12">
        <v>5.14</v>
      </c>
      <c r="E45" s="10" t="s">
        <v>411</v>
      </c>
      <c r="F45" s="10" t="s">
        <v>73</v>
      </c>
      <c r="G45" s="10" t="s">
        <v>412</v>
      </c>
      <c r="H45" s="10" t="s">
        <v>413</v>
      </c>
    </row>
    <row r="46" spans="1:8">
      <c r="A46" s="13" t="s">
        <v>140</v>
      </c>
      <c r="B46" s="14">
        <v>2008</v>
      </c>
      <c r="C46" s="13" t="s">
        <v>135</v>
      </c>
      <c r="D46" s="15">
        <v>52.49</v>
      </c>
      <c r="E46" s="13" t="s">
        <v>411</v>
      </c>
      <c r="F46" s="13" t="s">
        <v>73</v>
      </c>
      <c r="G46" s="13" t="s">
        <v>412</v>
      </c>
      <c r="H46" s="13" t="s">
        <v>413</v>
      </c>
    </row>
    <row r="47" spans="1:8">
      <c r="A47" s="10" t="s">
        <v>165</v>
      </c>
      <c r="B47" s="11">
        <v>2008</v>
      </c>
      <c r="C47" s="10" t="s">
        <v>135</v>
      </c>
      <c r="D47" s="12">
        <v>13.93</v>
      </c>
      <c r="E47" s="10" t="s">
        <v>411</v>
      </c>
      <c r="F47" s="10" t="s">
        <v>73</v>
      </c>
      <c r="G47" s="10" t="s">
        <v>412</v>
      </c>
      <c r="H47" s="10" t="s">
        <v>413</v>
      </c>
    </row>
    <row r="48" spans="1:8">
      <c r="A48" s="13" t="s">
        <v>122</v>
      </c>
      <c r="B48" s="14">
        <v>2009</v>
      </c>
      <c r="C48" s="13" t="s">
        <v>135</v>
      </c>
      <c r="D48" s="15">
        <v>103.04</v>
      </c>
      <c r="E48" s="13" t="s">
        <v>411</v>
      </c>
      <c r="F48" s="13" t="s">
        <v>73</v>
      </c>
      <c r="G48" s="13" t="s">
        <v>412</v>
      </c>
      <c r="H48" s="13" t="s">
        <v>413</v>
      </c>
    </row>
    <row r="49" spans="1:8">
      <c r="A49" s="10" t="s">
        <v>123</v>
      </c>
      <c r="B49" s="11">
        <v>2009</v>
      </c>
      <c r="C49" s="10" t="s">
        <v>135</v>
      </c>
      <c r="D49" s="12">
        <v>166.5</v>
      </c>
      <c r="E49" s="10" t="s">
        <v>411</v>
      </c>
      <c r="F49" s="10" t="s">
        <v>73</v>
      </c>
      <c r="G49" s="10" t="s">
        <v>412</v>
      </c>
      <c r="H49" s="10" t="s">
        <v>413</v>
      </c>
    </row>
    <row r="50" spans="1:8">
      <c r="A50" s="13" t="s">
        <v>164</v>
      </c>
      <c r="B50" s="14">
        <v>2009</v>
      </c>
      <c r="C50" s="13" t="s">
        <v>135</v>
      </c>
      <c r="D50" s="15">
        <v>5.23</v>
      </c>
      <c r="E50" s="13" t="s">
        <v>411</v>
      </c>
      <c r="F50" s="13" t="s">
        <v>73</v>
      </c>
      <c r="G50" s="13" t="s">
        <v>412</v>
      </c>
      <c r="H50" s="13" t="s">
        <v>413</v>
      </c>
    </row>
    <row r="51" spans="1:8">
      <c r="A51" s="10" t="s">
        <v>140</v>
      </c>
      <c r="B51" s="11">
        <v>2009</v>
      </c>
      <c r="C51" s="10" t="s">
        <v>135</v>
      </c>
      <c r="D51" s="12">
        <v>69.099999999999994</v>
      </c>
      <c r="E51" s="10" t="s">
        <v>411</v>
      </c>
      <c r="F51" s="10" t="s">
        <v>73</v>
      </c>
      <c r="G51" s="10" t="s">
        <v>412</v>
      </c>
      <c r="H51" s="10" t="s">
        <v>413</v>
      </c>
    </row>
    <row r="52" spans="1:8">
      <c r="A52" s="13" t="s">
        <v>165</v>
      </c>
      <c r="B52" s="14">
        <v>2009</v>
      </c>
      <c r="C52" s="13" t="s">
        <v>135</v>
      </c>
      <c r="D52" s="15">
        <v>12.88</v>
      </c>
      <c r="E52" s="13" t="s">
        <v>411</v>
      </c>
      <c r="F52" s="13" t="s">
        <v>73</v>
      </c>
      <c r="G52" s="13" t="s">
        <v>412</v>
      </c>
      <c r="H52" s="13" t="s">
        <v>413</v>
      </c>
    </row>
    <row r="53" spans="1:8">
      <c r="A53" s="10" t="s">
        <v>122</v>
      </c>
      <c r="B53" s="11">
        <v>2010</v>
      </c>
      <c r="C53" s="10" t="s">
        <v>135</v>
      </c>
      <c r="D53" s="12">
        <v>107.59</v>
      </c>
      <c r="E53" s="10" t="s">
        <v>411</v>
      </c>
      <c r="F53" s="10" t="s">
        <v>73</v>
      </c>
      <c r="G53" s="10" t="s">
        <v>412</v>
      </c>
      <c r="H53" s="10" t="s">
        <v>413</v>
      </c>
    </row>
    <row r="54" spans="1:8">
      <c r="A54" s="13" t="s">
        <v>123</v>
      </c>
      <c r="B54" s="14">
        <v>2010</v>
      </c>
      <c r="C54" s="13" t="s">
        <v>135</v>
      </c>
      <c r="D54" s="15">
        <v>175.65</v>
      </c>
      <c r="E54" s="13" t="s">
        <v>411</v>
      </c>
      <c r="F54" s="13" t="s">
        <v>73</v>
      </c>
      <c r="G54" s="13" t="s">
        <v>412</v>
      </c>
      <c r="H54" s="13" t="s">
        <v>413</v>
      </c>
    </row>
    <row r="55" spans="1:8">
      <c r="A55" s="10" t="s">
        <v>164</v>
      </c>
      <c r="B55" s="11">
        <v>2010</v>
      </c>
      <c r="C55" s="10" t="s">
        <v>135</v>
      </c>
      <c r="D55" s="12">
        <v>3.59</v>
      </c>
      <c r="E55" s="10" t="s">
        <v>411</v>
      </c>
      <c r="F55" s="10" t="s">
        <v>73</v>
      </c>
      <c r="G55" s="10" t="s">
        <v>412</v>
      </c>
      <c r="H55" s="10" t="s">
        <v>413</v>
      </c>
    </row>
    <row r="56" spans="1:8">
      <c r="A56" s="13" t="s">
        <v>140</v>
      </c>
      <c r="B56" s="14">
        <v>2010</v>
      </c>
      <c r="C56" s="13" t="s">
        <v>135</v>
      </c>
      <c r="D56" s="15">
        <v>62.14</v>
      </c>
      <c r="E56" s="13" t="s">
        <v>411</v>
      </c>
      <c r="F56" s="13" t="s">
        <v>73</v>
      </c>
      <c r="G56" s="13" t="s">
        <v>412</v>
      </c>
      <c r="H56" s="13" t="s">
        <v>413</v>
      </c>
    </row>
    <row r="57" spans="1:8">
      <c r="A57" s="10" t="s">
        <v>165</v>
      </c>
      <c r="B57" s="11">
        <v>2010</v>
      </c>
      <c r="C57" s="10" t="s">
        <v>135</v>
      </c>
      <c r="D57" s="12">
        <v>10.5</v>
      </c>
      <c r="E57" s="10" t="s">
        <v>411</v>
      </c>
      <c r="F57" s="10" t="s">
        <v>73</v>
      </c>
      <c r="G57" s="10" t="s">
        <v>412</v>
      </c>
      <c r="H57" s="10" t="s">
        <v>413</v>
      </c>
    </row>
    <row r="58" spans="1:8">
      <c r="A58" s="13" t="s">
        <v>122</v>
      </c>
      <c r="B58" s="14">
        <v>2011</v>
      </c>
      <c r="C58" s="13" t="s">
        <v>135</v>
      </c>
      <c r="D58" s="15">
        <v>108.44</v>
      </c>
      <c r="E58" s="13" t="s">
        <v>411</v>
      </c>
      <c r="F58" s="13" t="s">
        <v>73</v>
      </c>
      <c r="G58" s="13" t="s">
        <v>412</v>
      </c>
      <c r="H58" s="13" t="s">
        <v>413</v>
      </c>
    </row>
    <row r="59" spans="1:8">
      <c r="A59" s="10" t="s">
        <v>123</v>
      </c>
      <c r="B59" s="11">
        <v>2011</v>
      </c>
      <c r="C59" s="10" t="s">
        <v>135</v>
      </c>
      <c r="D59" s="12">
        <v>146.5</v>
      </c>
      <c r="E59" s="10" t="s">
        <v>411</v>
      </c>
      <c r="F59" s="10" t="s">
        <v>73</v>
      </c>
      <c r="G59" s="10" t="s">
        <v>412</v>
      </c>
      <c r="H59" s="10" t="s">
        <v>413</v>
      </c>
    </row>
    <row r="60" spans="1:8">
      <c r="A60" s="13" t="s">
        <v>164</v>
      </c>
      <c r="B60" s="14">
        <v>2011</v>
      </c>
      <c r="C60" s="13" t="s">
        <v>135</v>
      </c>
      <c r="D60" s="15">
        <v>5.69</v>
      </c>
      <c r="E60" s="13" t="s">
        <v>411</v>
      </c>
      <c r="F60" s="13" t="s">
        <v>73</v>
      </c>
      <c r="G60" s="13" t="s">
        <v>412</v>
      </c>
      <c r="H60" s="13" t="s">
        <v>413</v>
      </c>
    </row>
    <row r="61" spans="1:8">
      <c r="A61" s="10" t="s">
        <v>140</v>
      </c>
      <c r="B61" s="11">
        <v>2011</v>
      </c>
      <c r="C61" s="10" t="s">
        <v>135</v>
      </c>
      <c r="D61" s="12">
        <v>68.98</v>
      </c>
      <c r="E61" s="10" t="s">
        <v>411</v>
      </c>
      <c r="F61" s="10" t="s">
        <v>73</v>
      </c>
      <c r="G61" s="10" t="s">
        <v>412</v>
      </c>
      <c r="H61" s="10" t="s">
        <v>413</v>
      </c>
    </row>
    <row r="62" spans="1:8">
      <c r="A62" s="13" t="s">
        <v>165</v>
      </c>
      <c r="B62" s="14">
        <v>2011</v>
      </c>
      <c r="C62" s="13" t="s">
        <v>135</v>
      </c>
      <c r="D62" s="15">
        <v>8.85</v>
      </c>
      <c r="E62" s="13" t="s">
        <v>411</v>
      </c>
      <c r="F62" s="13" t="s">
        <v>73</v>
      </c>
      <c r="G62" s="13" t="s">
        <v>412</v>
      </c>
      <c r="H62" s="13" t="s">
        <v>413</v>
      </c>
    </row>
    <row r="63" spans="1:8">
      <c r="A63" s="10" t="s">
        <v>122</v>
      </c>
      <c r="B63" s="11">
        <v>2012</v>
      </c>
      <c r="C63" s="10" t="s">
        <v>135</v>
      </c>
      <c r="D63" s="12">
        <v>142.79</v>
      </c>
      <c r="E63" s="10" t="s">
        <v>411</v>
      </c>
      <c r="F63" s="10" t="s">
        <v>73</v>
      </c>
      <c r="G63" s="10" t="s">
        <v>412</v>
      </c>
      <c r="H63" s="10" t="s">
        <v>413</v>
      </c>
    </row>
    <row r="64" spans="1:8">
      <c r="A64" s="13" t="s">
        <v>123</v>
      </c>
      <c r="B64" s="14">
        <v>2012</v>
      </c>
      <c r="C64" s="13" t="s">
        <v>135</v>
      </c>
      <c r="D64" s="15">
        <v>100.17</v>
      </c>
      <c r="E64" s="13" t="s">
        <v>411</v>
      </c>
      <c r="F64" s="13" t="s">
        <v>73</v>
      </c>
      <c r="G64" s="13" t="s">
        <v>412</v>
      </c>
      <c r="H64" s="13" t="s">
        <v>413</v>
      </c>
    </row>
    <row r="65" spans="1:8">
      <c r="A65" s="10" t="s">
        <v>164</v>
      </c>
      <c r="B65" s="11">
        <v>2012</v>
      </c>
      <c r="C65" s="10" t="s">
        <v>135</v>
      </c>
      <c r="D65" s="12">
        <v>5.31</v>
      </c>
      <c r="E65" s="10" t="s">
        <v>411</v>
      </c>
      <c r="F65" s="10" t="s">
        <v>73</v>
      </c>
      <c r="G65" s="10" t="s">
        <v>412</v>
      </c>
      <c r="H65" s="10" t="s">
        <v>413</v>
      </c>
    </row>
    <row r="66" spans="1:8">
      <c r="A66" s="13" t="s">
        <v>140</v>
      </c>
      <c r="B66" s="14">
        <v>2012</v>
      </c>
      <c r="C66" s="13" t="s">
        <v>135</v>
      </c>
      <c r="D66" s="15">
        <v>70.41</v>
      </c>
      <c r="E66" s="13" t="s">
        <v>411</v>
      </c>
      <c r="F66" s="13" t="s">
        <v>73</v>
      </c>
      <c r="G66" s="13" t="s">
        <v>412</v>
      </c>
      <c r="H66" s="13" t="s">
        <v>413</v>
      </c>
    </row>
    <row r="67" spans="1:8">
      <c r="A67" s="10" t="s">
        <v>165</v>
      </c>
      <c r="B67" s="11">
        <v>2012</v>
      </c>
      <c r="C67" s="10" t="s">
        <v>135</v>
      </c>
      <c r="D67" s="12">
        <v>9.26</v>
      </c>
      <c r="E67" s="10" t="s">
        <v>411</v>
      </c>
      <c r="F67" s="10" t="s">
        <v>73</v>
      </c>
      <c r="G67" s="10" t="s">
        <v>412</v>
      </c>
      <c r="H67" s="10" t="s">
        <v>413</v>
      </c>
    </row>
    <row r="68" spans="1:8">
      <c r="A68" s="13" t="s">
        <v>122</v>
      </c>
      <c r="B68" s="14">
        <v>2013</v>
      </c>
      <c r="C68" s="13" t="s">
        <v>135</v>
      </c>
      <c r="D68" s="15">
        <v>130.26</v>
      </c>
      <c r="E68" s="13" t="s">
        <v>411</v>
      </c>
      <c r="F68" s="13" t="s">
        <v>73</v>
      </c>
      <c r="G68" s="13" t="s">
        <v>412</v>
      </c>
      <c r="H68" s="13" t="s">
        <v>413</v>
      </c>
    </row>
    <row r="69" spans="1:8">
      <c r="A69" s="10" t="s">
        <v>123</v>
      </c>
      <c r="B69" s="11">
        <v>2013</v>
      </c>
      <c r="C69" s="10" t="s">
        <v>135</v>
      </c>
      <c r="D69" s="12">
        <v>95.84</v>
      </c>
      <c r="E69" s="10" t="s">
        <v>411</v>
      </c>
      <c r="F69" s="10" t="s">
        <v>73</v>
      </c>
      <c r="G69" s="10" t="s">
        <v>412</v>
      </c>
      <c r="H69" s="10" t="s">
        <v>413</v>
      </c>
    </row>
    <row r="70" spans="1:8">
      <c r="A70" s="13" t="s">
        <v>164</v>
      </c>
      <c r="B70" s="14">
        <v>2013</v>
      </c>
      <c r="C70" s="13" t="s">
        <v>135</v>
      </c>
      <c r="D70" s="15">
        <v>4.7</v>
      </c>
      <c r="E70" s="13" t="s">
        <v>411</v>
      </c>
      <c r="F70" s="13" t="s">
        <v>73</v>
      </c>
      <c r="G70" s="13" t="s">
        <v>412</v>
      </c>
      <c r="H70" s="13" t="s">
        <v>413</v>
      </c>
    </row>
    <row r="71" spans="1:8">
      <c r="A71" s="10" t="s">
        <v>140</v>
      </c>
      <c r="B71" s="11">
        <v>2013</v>
      </c>
      <c r="C71" s="10" t="s">
        <v>135</v>
      </c>
      <c r="D71" s="12">
        <v>70.61</v>
      </c>
      <c r="E71" s="10" t="s">
        <v>411</v>
      </c>
      <c r="F71" s="10" t="s">
        <v>73</v>
      </c>
      <c r="G71" s="10" t="s">
        <v>412</v>
      </c>
      <c r="H71" s="10" t="s">
        <v>413</v>
      </c>
    </row>
    <row r="72" spans="1:8">
      <c r="A72" s="13" t="s">
        <v>165</v>
      </c>
      <c r="B72" s="14">
        <v>2013</v>
      </c>
      <c r="C72" s="13" t="s">
        <v>135</v>
      </c>
      <c r="D72" s="15">
        <v>8.36</v>
      </c>
      <c r="E72" s="13" t="s">
        <v>411</v>
      </c>
      <c r="F72" s="13" t="s">
        <v>73</v>
      </c>
      <c r="G72" s="13" t="s">
        <v>412</v>
      </c>
      <c r="H72" s="13" t="s">
        <v>413</v>
      </c>
    </row>
    <row r="73" spans="1:8">
      <c r="A73" s="10" t="s">
        <v>122</v>
      </c>
      <c r="B73" s="11">
        <v>2014</v>
      </c>
      <c r="C73" s="10" t="s">
        <v>135</v>
      </c>
      <c r="D73" s="12">
        <v>100.24</v>
      </c>
      <c r="E73" s="10" t="s">
        <v>411</v>
      </c>
      <c r="F73" s="10" t="s">
        <v>73</v>
      </c>
      <c r="G73" s="10" t="s">
        <v>412</v>
      </c>
      <c r="H73" s="10" t="s">
        <v>413</v>
      </c>
    </row>
    <row r="74" spans="1:8">
      <c r="A74" s="13" t="s">
        <v>123</v>
      </c>
      <c r="B74" s="14">
        <v>2014</v>
      </c>
      <c r="C74" s="13" t="s">
        <v>135</v>
      </c>
      <c r="D74" s="15">
        <v>100.89</v>
      </c>
      <c r="E74" s="13" t="s">
        <v>411</v>
      </c>
      <c r="F74" s="13" t="s">
        <v>73</v>
      </c>
      <c r="G74" s="13" t="s">
        <v>412</v>
      </c>
      <c r="H74" s="13" t="s">
        <v>413</v>
      </c>
    </row>
    <row r="75" spans="1:8">
      <c r="A75" s="10" t="s">
        <v>164</v>
      </c>
      <c r="B75" s="11">
        <v>2014</v>
      </c>
      <c r="C75" s="10" t="s">
        <v>135</v>
      </c>
      <c r="D75" s="12">
        <v>5.89</v>
      </c>
      <c r="E75" s="10" t="s">
        <v>411</v>
      </c>
      <c r="F75" s="10" t="s">
        <v>73</v>
      </c>
      <c r="G75" s="10" t="s">
        <v>412</v>
      </c>
      <c r="H75" s="10" t="s">
        <v>413</v>
      </c>
    </row>
    <row r="76" spans="1:8">
      <c r="A76" s="13" t="s">
        <v>140</v>
      </c>
      <c r="B76" s="14">
        <v>2014</v>
      </c>
      <c r="C76" s="13" t="s">
        <v>135</v>
      </c>
      <c r="D76" s="15">
        <v>63.75</v>
      </c>
      <c r="E76" s="13" t="s">
        <v>411</v>
      </c>
      <c r="F76" s="13" t="s">
        <v>73</v>
      </c>
      <c r="G76" s="13" t="s">
        <v>412</v>
      </c>
      <c r="H76" s="13" t="s">
        <v>413</v>
      </c>
    </row>
    <row r="77" spans="1:8">
      <c r="A77" s="10" t="s">
        <v>165</v>
      </c>
      <c r="B77" s="11">
        <v>2014</v>
      </c>
      <c r="C77" s="10" t="s">
        <v>135</v>
      </c>
      <c r="D77" s="12">
        <v>8.69</v>
      </c>
      <c r="E77" s="10" t="s">
        <v>411</v>
      </c>
      <c r="F77" s="10" t="s">
        <v>73</v>
      </c>
      <c r="G77" s="10" t="s">
        <v>412</v>
      </c>
      <c r="H77" s="10" t="s">
        <v>413</v>
      </c>
    </row>
    <row r="78" spans="1:8">
      <c r="A78" s="13" t="s">
        <v>122</v>
      </c>
      <c r="B78" s="14">
        <v>2015</v>
      </c>
      <c r="C78" s="13" t="s">
        <v>135</v>
      </c>
      <c r="D78" s="15">
        <v>75.88</v>
      </c>
      <c r="E78" s="13" t="s">
        <v>411</v>
      </c>
      <c r="F78" s="13" t="s">
        <v>73</v>
      </c>
      <c r="G78" s="13" t="s">
        <v>412</v>
      </c>
      <c r="H78" s="13" t="s">
        <v>413</v>
      </c>
    </row>
    <row r="79" spans="1:8">
      <c r="A79" s="10" t="s">
        <v>123</v>
      </c>
      <c r="B79" s="11">
        <v>2015</v>
      </c>
      <c r="C79" s="10" t="s">
        <v>135</v>
      </c>
      <c r="D79" s="12">
        <v>99.88</v>
      </c>
      <c r="E79" s="10" t="s">
        <v>411</v>
      </c>
      <c r="F79" s="10" t="s">
        <v>73</v>
      </c>
      <c r="G79" s="10" t="s">
        <v>412</v>
      </c>
      <c r="H79" s="10" t="s">
        <v>413</v>
      </c>
    </row>
    <row r="80" spans="1:8">
      <c r="A80" s="13" t="s">
        <v>164</v>
      </c>
      <c r="B80" s="14">
        <v>2015</v>
      </c>
      <c r="C80" s="13" t="s">
        <v>135</v>
      </c>
      <c r="D80" s="15">
        <v>6.3</v>
      </c>
      <c r="E80" s="13" t="s">
        <v>411</v>
      </c>
      <c r="F80" s="13" t="s">
        <v>73</v>
      </c>
      <c r="G80" s="13" t="s">
        <v>412</v>
      </c>
      <c r="H80" s="13" t="s">
        <v>413</v>
      </c>
    </row>
    <row r="81" spans="1:8">
      <c r="A81" s="10" t="s">
        <v>140</v>
      </c>
      <c r="B81" s="11">
        <v>2015</v>
      </c>
      <c r="C81" s="10" t="s">
        <v>135</v>
      </c>
      <c r="D81" s="12">
        <v>70.34</v>
      </c>
      <c r="E81" s="10" t="s">
        <v>411</v>
      </c>
      <c r="F81" s="10" t="s">
        <v>73</v>
      </c>
      <c r="G81" s="10" t="s">
        <v>412</v>
      </c>
      <c r="H81" s="10" t="s">
        <v>413</v>
      </c>
    </row>
    <row r="82" spans="1:8">
      <c r="A82" s="13" t="s">
        <v>165</v>
      </c>
      <c r="B82" s="14">
        <v>2015</v>
      </c>
      <c r="C82" s="13" t="s">
        <v>135</v>
      </c>
      <c r="D82" s="15">
        <v>9.41</v>
      </c>
      <c r="E82" s="13" t="s">
        <v>411</v>
      </c>
      <c r="F82" s="13" t="s">
        <v>73</v>
      </c>
      <c r="G82" s="13" t="s">
        <v>412</v>
      </c>
      <c r="H82" s="13" t="s">
        <v>413</v>
      </c>
    </row>
    <row r="83" spans="1:8">
      <c r="A83" s="10" t="s">
        <v>122</v>
      </c>
      <c r="B83" s="11">
        <v>2016</v>
      </c>
      <c r="C83" s="10" t="s">
        <v>135</v>
      </c>
      <c r="D83" s="12">
        <v>30.67</v>
      </c>
      <c r="E83" s="10" t="s">
        <v>411</v>
      </c>
      <c r="F83" s="10" t="s">
        <v>73</v>
      </c>
      <c r="G83" s="10" t="s">
        <v>412</v>
      </c>
      <c r="H83" s="10" t="s">
        <v>413</v>
      </c>
    </row>
    <row r="84" spans="1:8">
      <c r="A84" s="13" t="s">
        <v>123</v>
      </c>
      <c r="B84" s="14">
        <v>2016</v>
      </c>
      <c r="C84" s="13" t="s">
        <v>135</v>
      </c>
      <c r="D84" s="15">
        <v>143.13</v>
      </c>
      <c r="E84" s="13" t="s">
        <v>411</v>
      </c>
      <c r="F84" s="13" t="s">
        <v>73</v>
      </c>
      <c r="G84" s="13" t="s">
        <v>412</v>
      </c>
      <c r="H84" s="13" t="s">
        <v>413</v>
      </c>
    </row>
    <row r="85" spans="1:8">
      <c r="A85" s="10" t="s">
        <v>164</v>
      </c>
      <c r="B85" s="11">
        <v>2016</v>
      </c>
      <c r="C85" s="10" t="s">
        <v>135</v>
      </c>
      <c r="D85" s="12">
        <v>5.37</v>
      </c>
      <c r="E85" s="10" t="s">
        <v>411</v>
      </c>
      <c r="F85" s="10" t="s">
        <v>73</v>
      </c>
      <c r="G85" s="10" t="s">
        <v>412</v>
      </c>
      <c r="H85" s="10" t="s">
        <v>413</v>
      </c>
    </row>
    <row r="86" spans="1:8">
      <c r="A86" s="13" t="s">
        <v>140</v>
      </c>
      <c r="B86" s="14">
        <v>2016</v>
      </c>
      <c r="C86" s="13" t="s">
        <v>135</v>
      </c>
      <c r="D86" s="15">
        <v>71.73</v>
      </c>
      <c r="E86" s="13" t="s">
        <v>411</v>
      </c>
      <c r="F86" s="13" t="s">
        <v>73</v>
      </c>
      <c r="G86" s="13" t="s">
        <v>412</v>
      </c>
      <c r="H86" s="13" t="s">
        <v>413</v>
      </c>
    </row>
    <row r="87" spans="1:8">
      <c r="A87" s="10" t="s">
        <v>165</v>
      </c>
      <c r="B87" s="11">
        <v>2016</v>
      </c>
      <c r="C87" s="10" t="s">
        <v>135</v>
      </c>
      <c r="D87" s="12">
        <v>10.64</v>
      </c>
      <c r="E87" s="10" t="s">
        <v>411</v>
      </c>
      <c r="F87" s="10" t="s">
        <v>73</v>
      </c>
      <c r="G87" s="10" t="s">
        <v>412</v>
      </c>
      <c r="H87" s="10" t="s">
        <v>413</v>
      </c>
    </row>
    <row r="88" spans="1:8">
      <c r="A88" s="13" t="s">
        <v>122</v>
      </c>
      <c r="B88" s="14">
        <v>2017</v>
      </c>
      <c r="C88" s="13" t="s">
        <v>135</v>
      </c>
      <c r="D88" s="15">
        <v>22.53</v>
      </c>
      <c r="E88" s="13" t="s">
        <v>411</v>
      </c>
      <c r="F88" s="13" t="s">
        <v>73</v>
      </c>
      <c r="G88" s="13" t="s">
        <v>412</v>
      </c>
      <c r="H88" s="13" t="s">
        <v>413</v>
      </c>
    </row>
    <row r="89" spans="1:8">
      <c r="A89" s="10" t="s">
        <v>123</v>
      </c>
      <c r="B89" s="11">
        <v>2017</v>
      </c>
      <c r="C89" s="10" t="s">
        <v>135</v>
      </c>
      <c r="D89" s="12">
        <v>136.75</v>
      </c>
      <c r="E89" s="10" t="s">
        <v>411</v>
      </c>
      <c r="F89" s="10" t="s">
        <v>73</v>
      </c>
      <c r="G89" s="10" t="s">
        <v>412</v>
      </c>
      <c r="H89" s="10" t="s">
        <v>413</v>
      </c>
    </row>
    <row r="90" spans="1:8">
      <c r="A90" s="13" t="s">
        <v>164</v>
      </c>
      <c r="B90" s="14">
        <v>2017</v>
      </c>
      <c r="C90" s="13" t="s">
        <v>135</v>
      </c>
      <c r="D90" s="15">
        <v>5.88</v>
      </c>
      <c r="E90" s="13" t="s">
        <v>411</v>
      </c>
      <c r="F90" s="13" t="s">
        <v>73</v>
      </c>
      <c r="G90" s="13" t="s">
        <v>412</v>
      </c>
      <c r="H90" s="13" t="s">
        <v>413</v>
      </c>
    </row>
    <row r="91" spans="1:8">
      <c r="A91" s="10" t="s">
        <v>140</v>
      </c>
      <c r="B91" s="11">
        <v>2017</v>
      </c>
      <c r="C91" s="10" t="s">
        <v>135</v>
      </c>
      <c r="D91" s="12">
        <v>70.34</v>
      </c>
      <c r="E91" s="10" t="s">
        <v>411</v>
      </c>
      <c r="F91" s="10" t="s">
        <v>73</v>
      </c>
      <c r="G91" s="10" t="s">
        <v>412</v>
      </c>
      <c r="H91" s="10" t="s">
        <v>413</v>
      </c>
    </row>
    <row r="92" spans="1:8">
      <c r="A92" s="13" t="s">
        <v>165</v>
      </c>
      <c r="B92" s="14">
        <v>2017</v>
      </c>
      <c r="C92" s="13" t="s">
        <v>135</v>
      </c>
      <c r="D92" s="15">
        <v>9.7100000000000009</v>
      </c>
      <c r="E92" s="13" t="s">
        <v>411</v>
      </c>
      <c r="F92" s="13" t="s">
        <v>73</v>
      </c>
      <c r="G92" s="13" t="s">
        <v>412</v>
      </c>
      <c r="H92" s="13" t="s">
        <v>413</v>
      </c>
    </row>
    <row r="93" spans="1:8">
      <c r="A93" s="10" t="s">
        <v>122</v>
      </c>
      <c r="B93" s="11">
        <v>2018</v>
      </c>
      <c r="C93" s="10" t="s">
        <v>135</v>
      </c>
      <c r="D93" s="12">
        <v>16.829999999999998</v>
      </c>
      <c r="E93" s="10" t="s">
        <v>411</v>
      </c>
      <c r="F93" s="10" t="s">
        <v>73</v>
      </c>
      <c r="G93" s="10" t="s">
        <v>412</v>
      </c>
      <c r="H93" s="10" t="s">
        <v>413</v>
      </c>
    </row>
    <row r="94" spans="1:8">
      <c r="A94" s="13" t="s">
        <v>123</v>
      </c>
      <c r="B94" s="14">
        <v>2018</v>
      </c>
      <c r="C94" s="13" t="s">
        <v>135</v>
      </c>
      <c r="D94" s="15">
        <v>131.49</v>
      </c>
      <c r="E94" s="13" t="s">
        <v>411</v>
      </c>
      <c r="F94" s="13" t="s">
        <v>73</v>
      </c>
      <c r="G94" s="13" t="s">
        <v>412</v>
      </c>
      <c r="H94" s="13" t="s">
        <v>413</v>
      </c>
    </row>
    <row r="95" spans="1:8">
      <c r="A95" s="10" t="s">
        <v>164</v>
      </c>
      <c r="B95" s="11">
        <v>2018</v>
      </c>
      <c r="C95" s="10" t="s">
        <v>135</v>
      </c>
      <c r="D95" s="12">
        <v>5.44</v>
      </c>
      <c r="E95" s="10" t="s">
        <v>411</v>
      </c>
      <c r="F95" s="10" t="s">
        <v>73</v>
      </c>
      <c r="G95" s="10" t="s">
        <v>412</v>
      </c>
      <c r="H95" s="10" t="s">
        <v>413</v>
      </c>
    </row>
    <row r="96" spans="1:8">
      <c r="A96" s="13" t="s">
        <v>140</v>
      </c>
      <c r="B96" s="14">
        <v>2018</v>
      </c>
      <c r="C96" s="13" t="s">
        <v>135</v>
      </c>
      <c r="D96" s="15">
        <v>65.06</v>
      </c>
      <c r="E96" s="13" t="s">
        <v>411</v>
      </c>
      <c r="F96" s="13" t="s">
        <v>73</v>
      </c>
      <c r="G96" s="13" t="s">
        <v>412</v>
      </c>
      <c r="H96" s="13" t="s">
        <v>413</v>
      </c>
    </row>
    <row r="97" spans="1:8">
      <c r="A97" s="10" t="s">
        <v>165</v>
      </c>
      <c r="B97" s="11">
        <v>2018</v>
      </c>
      <c r="C97" s="10" t="s">
        <v>135</v>
      </c>
      <c r="D97" s="12">
        <v>10.24</v>
      </c>
      <c r="E97" s="10" t="s">
        <v>411</v>
      </c>
      <c r="F97" s="10" t="s">
        <v>73</v>
      </c>
      <c r="G97" s="10" t="s">
        <v>412</v>
      </c>
      <c r="H97" s="10" t="s">
        <v>413</v>
      </c>
    </row>
    <row r="98" spans="1:8">
      <c r="A98" s="13" t="s">
        <v>122</v>
      </c>
      <c r="B98" s="14">
        <v>2019</v>
      </c>
      <c r="C98" s="13" t="s">
        <v>135</v>
      </c>
      <c r="D98" s="15">
        <v>6.92</v>
      </c>
      <c r="E98" s="13" t="s">
        <v>411</v>
      </c>
      <c r="F98" s="13" t="s">
        <v>73</v>
      </c>
      <c r="G98" s="13" t="s">
        <v>412</v>
      </c>
      <c r="H98" s="13" t="s">
        <v>413</v>
      </c>
    </row>
    <row r="99" spans="1:8">
      <c r="A99" s="10" t="s">
        <v>123</v>
      </c>
      <c r="B99" s="11">
        <v>2019</v>
      </c>
      <c r="C99" s="10" t="s">
        <v>135</v>
      </c>
      <c r="D99" s="12">
        <v>133.09</v>
      </c>
      <c r="E99" s="10" t="s">
        <v>411</v>
      </c>
      <c r="F99" s="10" t="s">
        <v>73</v>
      </c>
      <c r="G99" s="10" t="s">
        <v>412</v>
      </c>
      <c r="H99" s="10" t="s">
        <v>413</v>
      </c>
    </row>
    <row r="100" spans="1:8">
      <c r="A100" s="13" t="s">
        <v>164</v>
      </c>
      <c r="B100" s="14">
        <v>2019</v>
      </c>
      <c r="C100" s="13" t="s">
        <v>135</v>
      </c>
      <c r="D100" s="15">
        <v>5.93</v>
      </c>
      <c r="E100" s="13" t="s">
        <v>411</v>
      </c>
      <c r="F100" s="13" t="s">
        <v>73</v>
      </c>
      <c r="G100" s="13" t="s">
        <v>412</v>
      </c>
      <c r="H100" s="13" t="s">
        <v>413</v>
      </c>
    </row>
    <row r="101" spans="1:8">
      <c r="A101" s="10" t="s">
        <v>140</v>
      </c>
      <c r="B101" s="11">
        <v>2019</v>
      </c>
      <c r="C101" s="10" t="s">
        <v>135</v>
      </c>
      <c r="D101" s="12">
        <v>56.18</v>
      </c>
      <c r="E101" s="10" t="s">
        <v>411</v>
      </c>
      <c r="F101" s="10" t="s">
        <v>73</v>
      </c>
      <c r="G101" s="10" t="s">
        <v>412</v>
      </c>
      <c r="H101" s="10" t="s">
        <v>413</v>
      </c>
    </row>
    <row r="102" spans="1:8">
      <c r="A102" s="13" t="s">
        <v>165</v>
      </c>
      <c r="B102" s="14">
        <v>2019</v>
      </c>
      <c r="C102" s="13" t="s">
        <v>135</v>
      </c>
      <c r="D102" s="15">
        <v>11.26</v>
      </c>
      <c r="E102" s="13" t="s">
        <v>411</v>
      </c>
      <c r="F102" s="13" t="s">
        <v>73</v>
      </c>
      <c r="G102" s="13" t="s">
        <v>412</v>
      </c>
      <c r="H102" s="13" t="s">
        <v>413</v>
      </c>
    </row>
    <row r="103" spans="1:8">
      <c r="A103" s="10" t="s">
        <v>122</v>
      </c>
      <c r="B103" s="11">
        <v>2020</v>
      </c>
      <c r="C103" s="10" t="s">
        <v>135</v>
      </c>
      <c r="D103" s="12">
        <v>5.7</v>
      </c>
      <c r="E103" s="10" t="s">
        <v>411</v>
      </c>
      <c r="F103" s="10" t="s">
        <v>73</v>
      </c>
      <c r="G103" s="10" t="s">
        <v>412</v>
      </c>
      <c r="H103" s="10" t="s">
        <v>413</v>
      </c>
    </row>
    <row r="104" spans="1:8">
      <c r="A104" s="13" t="s">
        <v>123</v>
      </c>
      <c r="B104" s="14">
        <v>2020</v>
      </c>
      <c r="C104" s="13" t="s">
        <v>135</v>
      </c>
      <c r="D104" s="15">
        <v>111.89</v>
      </c>
      <c r="E104" s="13" t="s">
        <v>411</v>
      </c>
      <c r="F104" s="13" t="s">
        <v>73</v>
      </c>
      <c r="G104" s="13" t="s">
        <v>412</v>
      </c>
      <c r="H104" s="13" t="s">
        <v>413</v>
      </c>
    </row>
    <row r="105" spans="1:8">
      <c r="A105" s="10" t="s">
        <v>164</v>
      </c>
      <c r="B105" s="11">
        <v>2020</v>
      </c>
      <c r="C105" s="10" t="s">
        <v>135</v>
      </c>
      <c r="D105" s="12">
        <v>6.88</v>
      </c>
      <c r="E105" s="10" t="s">
        <v>411</v>
      </c>
      <c r="F105" s="10" t="s">
        <v>73</v>
      </c>
      <c r="G105" s="10" t="s">
        <v>412</v>
      </c>
      <c r="H105" s="10" t="s">
        <v>413</v>
      </c>
    </row>
    <row r="106" spans="1:8">
      <c r="A106" s="13" t="s">
        <v>140</v>
      </c>
      <c r="B106" s="14">
        <v>2020</v>
      </c>
      <c r="C106" s="13" t="s">
        <v>135</v>
      </c>
      <c r="D106" s="15">
        <v>50.24</v>
      </c>
      <c r="E106" s="13" t="s">
        <v>411</v>
      </c>
      <c r="F106" s="13" t="s">
        <v>73</v>
      </c>
      <c r="G106" s="13" t="s">
        <v>412</v>
      </c>
      <c r="H106" s="13" t="s">
        <v>413</v>
      </c>
    </row>
    <row r="107" spans="1:8">
      <c r="A107" s="10" t="s">
        <v>165</v>
      </c>
      <c r="B107" s="11">
        <v>2020</v>
      </c>
      <c r="C107" s="10" t="s">
        <v>135</v>
      </c>
      <c r="D107" s="12">
        <v>8.84</v>
      </c>
      <c r="E107" s="10" t="s">
        <v>411</v>
      </c>
      <c r="F107" s="10" t="s">
        <v>73</v>
      </c>
      <c r="G107" s="10" t="s">
        <v>412</v>
      </c>
      <c r="H107" s="10" t="s">
        <v>413</v>
      </c>
    </row>
    <row r="108" spans="1:8">
      <c r="A108" s="13" t="s">
        <v>122</v>
      </c>
      <c r="B108" s="14">
        <v>2021</v>
      </c>
      <c r="C108" s="13" t="s">
        <v>135</v>
      </c>
      <c r="D108" s="15">
        <v>6.79</v>
      </c>
      <c r="E108" s="13" t="s">
        <v>411</v>
      </c>
      <c r="F108" s="13" t="s">
        <v>73</v>
      </c>
      <c r="G108" s="13" t="s">
        <v>412</v>
      </c>
      <c r="H108" s="13" t="s">
        <v>413</v>
      </c>
    </row>
    <row r="109" spans="1:8">
      <c r="A109" s="10" t="s">
        <v>123</v>
      </c>
      <c r="B109" s="11">
        <v>2021</v>
      </c>
      <c r="C109" s="10" t="s">
        <v>135</v>
      </c>
      <c r="D109" s="12">
        <v>122.84</v>
      </c>
      <c r="E109" s="10" t="s">
        <v>411</v>
      </c>
      <c r="F109" s="10" t="s">
        <v>73</v>
      </c>
      <c r="G109" s="10" t="s">
        <v>412</v>
      </c>
      <c r="H109" s="10" t="s">
        <v>413</v>
      </c>
    </row>
    <row r="110" spans="1:8">
      <c r="A110" s="13" t="s">
        <v>164</v>
      </c>
      <c r="B110" s="14">
        <v>2021</v>
      </c>
      <c r="C110" s="13" t="s">
        <v>135</v>
      </c>
      <c r="D110" s="15">
        <v>5.42</v>
      </c>
      <c r="E110" s="13" t="s">
        <v>411</v>
      </c>
      <c r="F110" s="13" t="s">
        <v>73</v>
      </c>
      <c r="G110" s="13" t="s">
        <v>412</v>
      </c>
      <c r="H110" s="13" t="s">
        <v>413</v>
      </c>
    </row>
    <row r="111" spans="1:8">
      <c r="A111" s="10" t="s">
        <v>140</v>
      </c>
      <c r="B111" s="11">
        <v>2021</v>
      </c>
      <c r="C111" s="10" t="s">
        <v>135</v>
      </c>
      <c r="D111" s="12">
        <v>46.1</v>
      </c>
      <c r="E111" s="10" t="s">
        <v>411</v>
      </c>
      <c r="F111" s="10" t="s">
        <v>73</v>
      </c>
      <c r="G111" s="10" t="s">
        <v>412</v>
      </c>
      <c r="H111" s="10" t="s">
        <v>413</v>
      </c>
    </row>
    <row r="112" spans="1:8">
      <c r="A112" s="13" t="s">
        <v>165</v>
      </c>
      <c r="B112" s="14">
        <v>2021</v>
      </c>
      <c r="C112" s="13" t="s">
        <v>135</v>
      </c>
      <c r="D112" s="15">
        <v>9.68</v>
      </c>
      <c r="E112" s="13" t="s">
        <v>411</v>
      </c>
      <c r="F112" s="13" t="s">
        <v>73</v>
      </c>
      <c r="G112" s="13" t="s">
        <v>412</v>
      </c>
      <c r="H112" s="13" t="s">
        <v>413</v>
      </c>
    </row>
    <row r="113" spans="1:8">
      <c r="A113" s="10" t="s">
        <v>122</v>
      </c>
      <c r="B113" s="11">
        <v>2022</v>
      </c>
      <c r="C113" s="10" t="s">
        <v>135</v>
      </c>
      <c r="D113" s="12">
        <v>5.94</v>
      </c>
      <c r="E113" s="10" t="s">
        <v>411</v>
      </c>
      <c r="F113" s="10" t="s">
        <v>73</v>
      </c>
      <c r="G113" s="10" t="s">
        <v>412</v>
      </c>
      <c r="H113" s="10" t="s">
        <v>413</v>
      </c>
    </row>
    <row r="114" spans="1:8">
      <c r="A114" s="13" t="s">
        <v>123</v>
      </c>
      <c r="B114" s="14">
        <v>2022</v>
      </c>
      <c r="C114" s="13" t="s">
        <v>135</v>
      </c>
      <c r="D114" s="15">
        <v>125.11</v>
      </c>
      <c r="E114" s="13" t="s">
        <v>411</v>
      </c>
      <c r="F114" s="13" t="s">
        <v>73</v>
      </c>
      <c r="G114" s="13" t="s">
        <v>412</v>
      </c>
      <c r="H114" s="13" t="s">
        <v>413</v>
      </c>
    </row>
    <row r="115" spans="1:8">
      <c r="A115" s="10" t="s">
        <v>164</v>
      </c>
      <c r="B115" s="11">
        <v>2022</v>
      </c>
      <c r="C115" s="10" t="s">
        <v>135</v>
      </c>
      <c r="D115" s="12">
        <v>5.66</v>
      </c>
      <c r="E115" s="10" t="s">
        <v>411</v>
      </c>
      <c r="F115" s="10" t="s">
        <v>73</v>
      </c>
      <c r="G115" s="10" t="s">
        <v>412</v>
      </c>
      <c r="H115" s="10" t="s">
        <v>413</v>
      </c>
    </row>
    <row r="116" spans="1:8">
      <c r="A116" s="13" t="s">
        <v>140</v>
      </c>
      <c r="B116" s="14">
        <v>2022</v>
      </c>
      <c r="C116" s="13" t="s">
        <v>135</v>
      </c>
      <c r="D116" s="15">
        <v>47.4</v>
      </c>
      <c r="E116" s="13" t="s">
        <v>411</v>
      </c>
      <c r="F116" s="13" t="s">
        <v>73</v>
      </c>
      <c r="G116" s="13" t="s">
        <v>412</v>
      </c>
      <c r="H116" s="13" t="s">
        <v>413</v>
      </c>
    </row>
    <row r="117" spans="1:8">
      <c r="A117" s="10" t="s">
        <v>165</v>
      </c>
      <c r="B117" s="11">
        <v>2022</v>
      </c>
      <c r="C117" s="10" t="s">
        <v>135</v>
      </c>
      <c r="D117" s="12">
        <v>11.07</v>
      </c>
      <c r="E117" s="10" t="s">
        <v>411</v>
      </c>
      <c r="F117" s="10" t="s">
        <v>73</v>
      </c>
      <c r="G117" s="10" t="s">
        <v>412</v>
      </c>
      <c r="H117" s="10" t="s">
        <v>413</v>
      </c>
    </row>
    <row r="118" spans="1:8">
      <c r="A118" s="13" t="s">
        <v>122</v>
      </c>
      <c r="B118" s="14">
        <v>2023</v>
      </c>
      <c r="C118" s="13" t="s">
        <v>135</v>
      </c>
      <c r="D118" s="15">
        <v>3.78</v>
      </c>
      <c r="E118" s="13" t="s">
        <v>411</v>
      </c>
      <c r="F118" s="13" t="s">
        <v>73</v>
      </c>
      <c r="G118" s="13" t="s">
        <v>412</v>
      </c>
      <c r="H118" s="13" t="s">
        <v>413</v>
      </c>
    </row>
    <row r="119" spans="1:8">
      <c r="A119" s="10" t="s">
        <v>123</v>
      </c>
      <c r="B119" s="11">
        <v>2023</v>
      </c>
      <c r="C119" s="10" t="s">
        <v>135</v>
      </c>
      <c r="D119" s="12">
        <v>101.66</v>
      </c>
      <c r="E119" s="10" t="s">
        <v>411</v>
      </c>
      <c r="F119" s="10" t="s">
        <v>73</v>
      </c>
      <c r="G119" s="10" t="s">
        <v>412</v>
      </c>
      <c r="H119" s="10" t="s">
        <v>413</v>
      </c>
    </row>
    <row r="120" spans="1:8">
      <c r="A120" s="13" t="s">
        <v>164</v>
      </c>
      <c r="B120" s="14">
        <v>2023</v>
      </c>
      <c r="C120" s="13" t="s">
        <v>135</v>
      </c>
      <c r="D120" s="15">
        <v>5.54</v>
      </c>
      <c r="E120" s="13" t="s">
        <v>411</v>
      </c>
      <c r="F120" s="13" t="s">
        <v>73</v>
      </c>
      <c r="G120" s="13" t="s">
        <v>412</v>
      </c>
      <c r="H120" s="13" t="s">
        <v>413</v>
      </c>
    </row>
    <row r="121" spans="1:8">
      <c r="A121" s="10" t="s">
        <v>140</v>
      </c>
      <c r="B121" s="11">
        <v>2023</v>
      </c>
      <c r="C121" s="10" t="s">
        <v>135</v>
      </c>
      <c r="D121" s="12">
        <v>40.6</v>
      </c>
      <c r="E121" s="10" t="s">
        <v>411</v>
      </c>
      <c r="F121" s="10" t="s">
        <v>73</v>
      </c>
      <c r="G121" s="10" t="s">
        <v>412</v>
      </c>
      <c r="H121" s="10" t="s">
        <v>413</v>
      </c>
    </row>
    <row r="122" spans="1:8">
      <c r="A122" s="13" t="s">
        <v>165</v>
      </c>
      <c r="B122" s="14">
        <v>2023</v>
      </c>
      <c r="C122" s="13" t="s">
        <v>135</v>
      </c>
      <c r="D122" s="15">
        <v>10.82</v>
      </c>
      <c r="E122" s="13" t="s">
        <v>411</v>
      </c>
      <c r="F122" s="13" t="s">
        <v>73</v>
      </c>
      <c r="G122" s="13" t="s">
        <v>412</v>
      </c>
      <c r="H122" s="13" t="s">
        <v>413</v>
      </c>
    </row>
    <row r="123" spans="1:8">
      <c r="A123" s="10" t="s">
        <v>122</v>
      </c>
      <c r="B123" s="11">
        <v>2024</v>
      </c>
      <c r="C123" s="10" t="s">
        <v>135</v>
      </c>
      <c r="D123" s="12">
        <v>1.9</v>
      </c>
      <c r="E123" s="10" t="s">
        <v>411</v>
      </c>
      <c r="F123" s="10" t="s">
        <v>73</v>
      </c>
      <c r="G123" s="10" t="s">
        <v>412</v>
      </c>
      <c r="H123" s="10" t="s">
        <v>413</v>
      </c>
    </row>
    <row r="124" spans="1:8">
      <c r="A124" s="13" t="s">
        <v>123</v>
      </c>
      <c r="B124" s="14">
        <v>2024</v>
      </c>
      <c r="C124" s="13" t="s">
        <v>135</v>
      </c>
      <c r="D124" s="15">
        <v>86.3</v>
      </c>
      <c r="E124" s="13" t="s">
        <v>411</v>
      </c>
      <c r="F124" s="13" t="s">
        <v>73</v>
      </c>
      <c r="G124" s="13" t="s">
        <v>412</v>
      </c>
      <c r="H124" s="13" t="s">
        <v>413</v>
      </c>
    </row>
    <row r="125" spans="1:8">
      <c r="A125" s="10" t="s">
        <v>164</v>
      </c>
      <c r="B125" s="11">
        <v>2024</v>
      </c>
      <c r="C125" s="10" t="s">
        <v>135</v>
      </c>
      <c r="D125" s="12">
        <v>5.76</v>
      </c>
      <c r="E125" s="10" t="s">
        <v>411</v>
      </c>
      <c r="F125" s="10" t="s">
        <v>73</v>
      </c>
      <c r="G125" s="10" t="s">
        <v>412</v>
      </c>
      <c r="H125" s="10" t="s">
        <v>413</v>
      </c>
    </row>
    <row r="126" spans="1:8">
      <c r="A126" s="13" t="s">
        <v>140</v>
      </c>
      <c r="B126" s="14">
        <v>2024</v>
      </c>
      <c r="C126" s="13" t="s">
        <v>135</v>
      </c>
      <c r="D126" s="15">
        <v>40.590000000000003</v>
      </c>
      <c r="E126" s="13" t="s">
        <v>411</v>
      </c>
      <c r="F126" s="13" t="s">
        <v>73</v>
      </c>
      <c r="G126" s="13" t="s">
        <v>412</v>
      </c>
      <c r="H126" s="13" t="s">
        <v>413</v>
      </c>
    </row>
    <row r="127" spans="1:8">
      <c r="A127" s="10" t="s">
        <v>165</v>
      </c>
      <c r="B127" s="11">
        <v>2024</v>
      </c>
      <c r="C127" s="10" t="s">
        <v>135</v>
      </c>
      <c r="D127" s="12">
        <v>11.45</v>
      </c>
      <c r="E127" s="10" t="s">
        <v>411</v>
      </c>
      <c r="F127" s="10" t="s">
        <v>73</v>
      </c>
      <c r="G127" s="10" t="s">
        <v>412</v>
      </c>
      <c r="H127" s="10" t="s">
        <v>413</v>
      </c>
    </row>
    <row r="128" spans="1:8">
      <c r="A128" s="13" t="s">
        <v>122</v>
      </c>
      <c r="B128" s="14">
        <v>2025</v>
      </c>
      <c r="C128" s="13" t="s">
        <v>135</v>
      </c>
      <c r="D128" s="15">
        <v>0.33</v>
      </c>
      <c r="E128" s="13" t="s">
        <v>411</v>
      </c>
      <c r="F128" s="13" t="s">
        <v>73</v>
      </c>
      <c r="G128" s="13" t="s">
        <v>412</v>
      </c>
      <c r="H128" s="13" t="s">
        <v>413</v>
      </c>
    </row>
    <row r="129" spans="1:8">
      <c r="A129" s="10" t="s">
        <v>123</v>
      </c>
      <c r="B129" s="11">
        <v>2025</v>
      </c>
      <c r="C129" s="10" t="s">
        <v>135</v>
      </c>
      <c r="D129" s="12">
        <v>90.91</v>
      </c>
      <c r="E129" s="10" t="s">
        <v>411</v>
      </c>
      <c r="F129" s="10" t="s">
        <v>73</v>
      </c>
      <c r="G129" s="10" t="s">
        <v>412</v>
      </c>
      <c r="H129" s="10" t="s">
        <v>413</v>
      </c>
    </row>
    <row r="130" spans="1:8">
      <c r="A130" s="13" t="s">
        <v>164</v>
      </c>
      <c r="B130" s="14">
        <v>2025</v>
      </c>
      <c r="C130" s="13" t="s">
        <v>135</v>
      </c>
      <c r="D130" s="15">
        <v>5.55</v>
      </c>
      <c r="E130" s="13" t="s">
        <v>411</v>
      </c>
      <c r="F130" s="13" t="s">
        <v>73</v>
      </c>
      <c r="G130" s="13" t="s">
        <v>412</v>
      </c>
      <c r="H130" s="13" t="s">
        <v>413</v>
      </c>
    </row>
    <row r="131" spans="1:8">
      <c r="A131" s="10" t="s">
        <v>140</v>
      </c>
      <c r="B131" s="11">
        <v>2025</v>
      </c>
      <c r="C131" s="10" t="s">
        <v>135</v>
      </c>
      <c r="D131" s="12">
        <v>36.380000000000003</v>
      </c>
      <c r="E131" s="10" t="s">
        <v>411</v>
      </c>
      <c r="F131" s="10" t="s">
        <v>73</v>
      </c>
      <c r="G131" s="10" t="s">
        <v>412</v>
      </c>
      <c r="H131" s="10" t="s">
        <v>413</v>
      </c>
    </row>
    <row r="132" spans="1:8">
      <c r="A132" s="13" t="s">
        <v>165</v>
      </c>
      <c r="B132" s="14">
        <v>2025</v>
      </c>
      <c r="C132" s="13" t="s">
        <v>135</v>
      </c>
      <c r="D132" s="15">
        <v>12.77</v>
      </c>
      <c r="E132" s="13" t="s">
        <v>411</v>
      </c>
      <c r="F132" s="13" t="s">
        <v>73</v>
      </c>
      <c r="G132" s="13" t="s">
        <v>412</v>
      </c>
      <c r="H132" s="13" t="s">
        <v>413</v>
      </c>
    </row>
    <row r="133" spans="1:8">
      <c r="A133" s="10" t="s">
        <v>122</v>
      </c>
      <c r="B133" s="11">
        <v>2000</v>
      </c>
      <c r="C133" s="10" t="s">
        <v>7</v>
      </c>
      <c r="D133" s="12">
        <v>34.659999999999997</v>
      </c>
      <c r="E133" s="10" t="s">
        <v>411</v>
      </c>
      <c r="F133" s="10" t="s">
        <v>63</v>
      </c>
      <c r="G133" s="10" t="s">
        <v>412</v>
      </c>
      <c r="H133" s="10" t="s">
        <v>413</v>
      </c>
    </row>
    <row r="134" spans="1:8">
      <c r="A134" s="13" t="s">
        <v>123</v>
      </c>
      <c r="B134" s="14">
        <v>2000</v>
      </c>
      <c r="C134" s="13" t="s">
        <v>7</v>
      </c>
      <c r="D134" s="15">
        <v>19.260000000000002</v>
      </c>
      <c r="E134" s="13" t="s">
        <v>411</v>
      </c>
      <c r="F134" s="13" t="s">
        <v>63</v>
      </c>
      <c r="G134" s="13" t="s">
        <v>412</v>
      </c>
      <c r="H134" s="13" t="s">
        <v>413</v>
      </c>
    </row>
    <row r="135" spans="1:8">
      <c r="A135" s="10" t="s">
        <v>164</v>
      </c>
      <c r="B135" s="11">
        <v>2000</v>
      </c>
      <c r="C135" s="10" t="s">
        <v>7</v>
      </c>
      <c r="D135" s="12">
        <v>1.78</v>
      </c>
      <c r="E135" s="10" t="s">
        <v>411</v>
      </c>
      <c r="F135" s="10" t="s">
        <v>63</v>
      </c>
      <c r="G135" s="10" t="s">
        <v>412</v>
      </c>
      <c r="H135" s="10" t="s">
        <v>413</v>
      </c>
    </row>
    <row r="136" spans="1:8">
      <c r="A136" s="13" t="s">
        <v>140</v>
      </c>
      <c r="B136" s="14">
        <v>2000</v>
      </c>
      <c r="C136" s="13" t="s">
        <v>7</v>
      </c>
      <c r="D136" s="15">
        <v>12.49</v>
      </c>
      <c r="E136" s="13" t="s">
        <v>411</v>
      </c>
      <c r="F136" s="13" t="s">
        <v>63</v>
      </c>
      <c r="G136" s="13" t="s">
        <v>412</v>
      </c>
      <c r="H136" s="13" t="s">
        <v>413</v>
      </c>
    </row>
    <row r="137" spans="1:8">
      <c r="A137" s="10" t="s">
        <v>165</v>
      </c>
      <c r="B137" s="11">
        <v>2000</v>
      </c>
      <c r="C137" s="10" t="s">
        <v>7</v>
      </c>
      <c r="D137" s="12">
        <v>5.28</v>
      </c>
      <c r="E137" s="10" t="s">
        <v>411</v>
      </c>
      <c r="F137" s="10" t="s">
        <v>63</v>
      </c>
      <c r="G137" s="10" t="s">
        <v>412</v>
      </c>
      <c r="H137" s="10" t="s">
        <v>413</v>
      </c>
    </row>
    <row r="138" spans="1:8">
      <c r="A138" s="13" t="s">
        <v>122</v>
      </c>
      <c r="B138" s="14">
        <v>2001</v>
      </c>
      <c r="C138" s="13" t="s">
        <v>7</v>
      </c>
      <c r="D138" s="15">
        <v>34.659999999999997</v>
      </c>
      <c r="E138" s="13" t="s">
        <v>411</v>
      </c>
      <c r="F138" s="13" t="s">
        <v>63</v>
      </c>
      <c r="G138" s="13" t="s">
        <v>412</v>
      </c>
      <c r="H138" s="13" t="s">
        <v>413</v>
      </c>
    </row>
    <row r="139" spans="1:8">
      <c r="A139" s="10" t="s">
        <v>123</v>
      </c>
      <c r="B139" s="11">
        <v>2001</v>
      </c>
      <c r="C139" s="10" t="s">
        <v>7</v>
      </c>
      <c r="D139" s="12">
        <v>19.850000000000001</v>
      </c>
      <c r="E139" s="10" t="s">
        <v>411</v>
      </c>
      <c r="F139" s="10" t="s">
        <v>63</v>
      </c>
      <c r="G139" s="10" t="s">
        <v>412</v>
      </c>
      <c r="H139" s="10" t="s">
        <v>413</v>
      </c>
    </row>
    <row r="140" spans="1:8">
      <c r="A140" s="13" t="s">
        <v>164</v>
      </c>
      <c r="B140" s="14">
        <v>2001</v>
      </c>
      <c r="C140" s="13" t="s">
        <v>7</v>
      </c>
      <c r="D140" s="15">
        <v>1.93</v>
      </c>
      <c r="E140" s="13" t="s">
        <v>411</v>
      </c>
      <c r="F140" s="13" t="s">
        <v>63</v>
      </c>
      <c r="G140" s="13" t="s">
        <v>412</v>
      </c>
      <c r="H140" s="13" t="s">
        <v>413</v>
      </c>
    </row>
    <row r="141" spans="1:8">
      <c r="A141" s="10" t="s">
        <v>140</v>
      </c>
      <c r="B141" s="11">
        <v>2001</v>
      </c>
      <c r="C141" s="10" t="s">
        <v>7</v>
      </c>
      <c r="D141" s="12">
        <v>12.49</v>
      </c>
      <c r="E141" s="10" t="s">
        <v>411</v>
      </c>
      <c r="F141" s="10" t="s">
        <v>63</v>
      </c>
      <c r="G141" s="10" t="s">
        <v>412</v>
      </c>
      <c r="H141" s="10" t="s">
        <v>413</v>
      </c>
    </row>
    <row r="142" spans="1:8">
      <c r="A142" s="13" t="s">
        <v>165</v>
      </c>
      <c r="B142" s="14">
        <v>2001</v>
      </c>
      <c r="C142" s="13" t="s">
        <v>7</v>
      </c>
      <c r="D142" s="15">
        <v>5.26</v>
      </c>
      <c r="E142" s="13" t="s">
        <v>411</v>
      </c>
      <c r="F142" s="13" t="s">
        <v>63</v>
      </c>
      <c r="G142" s="13" t="s">
        <v>412</v>
      </c>
      <c r="H142" s="13" t="s">
        <v>413</v>
      </c>
    </row>
    <row r="143" spans="1:8">
      <c r="A143" s="10" t="s">
        <v>122</v>
      </c>
      <c r="B143" s="11">
        <v>2002</v>
      </c>
      <c r="C143" s="10" t="s">
        <v>7</v>
      </c>
      <c r="D143" s="12">
        <v>33.659999999999997</v>
      </c>
      <c r="E143" s="10" t="s">
        <v>411</v>
      </c>
      <c r="F143" s="10" t="s">
        <v>63</v>
      </c>
      <c r="G143" s="10" t="s">
        <v>412</v>
      </c>
      <c r="H143" s="10" t="s">
        <v>413</v>
      </c>
    </row>
    <row r="144" spans="1:8">
      <c r="A144" s="13" t="s">
        <v>123</v>
      </c>
      <c r="B144" s="14">
        <v>2002</v>
      </c>
      <c r="C144" s="13" t="s">
        <v>7</v>
      </c>
      <c r="D144" s="15">
        <v>21.32</v>
      </c>
      <c r="E144" s="13" t="s">
        <v>411</v>
      </c>
      <c r="F144" s="13" t="s">
        <v>63</v>
      </c>
      <c r="G144" s="13" t="s">
        <v>412</v>
      </c>
      <c r="H144" s="13" t="s">
        <v>413</v>
      </c>
    </row>
    <row r="145" spans="1:8">
      <c r="A145" s="10" t="s">
        <v>164</v>
      </c>
      <c r="B145" s="11">
        <v>2002</v>
      </c>
      <c r="C145" s="10" t="s">
        <v>7</v>
      </c>
      <c r="D145" s="12">
        <v>1.88</v>
      </c>
      <c r="E145" s="10" t="s">
        <v>411</v>
      </c>
      <c r="F145" s="10" t="s">
        <v>63</v>
      </c>
      <c r="G145" s="10" t="s">
        <v>412</v>
      </c>
      <c r="H145" s="10" t="s">
        <v>413</v>
      </c>
    </row>
    <row r="146" spans="1:8">
      <c r="A146" s="13" t="s">
        <v>140</v>
      </c>
      <c r="B146" s="14">
        <v>2002</v>
      </c>
      <c r="C146" s="13" t="s">
        <v>7</v>
      </c>
      <c r="D146" s="15">
        <v>12.24</v>
      </c>
      <c r="E146" s="13" t="s">
        <v>411</v>
      </c>
      <c r="F146" s="13" t="s">
        <v>63</v>
      </c>
      <c r="G146" s="13" t="s">
        <v>412</v>
      </c>
      <c r="H146" s="13" t="s">
        <v>413</v>
      </c>
    </row>
    <row r="147" spans="1:8">
      <c r="A147" s="10" t="s">
        <v>165</v>
      </c>
      <c r="B147" s="11">
        <v>2002</v>
      </c>
      <c r="C147" s="10" t="s">
        <v>7</v>
      </c>
      <c r="D147" s="12">
        <v>5.13</v>
      </c>
      <c r="E147" s="10" t="s">
        <v>411</v>
      </c>
      <c r="F147" s="10" t="s">
        <v>63</v>
      </c>
      <c r="G147" s="10" t="s">
        <v>412</v>
      </c>
      <c r="H147" s="10" t="s">
        <v>413</v>
      </c>
    </row>
    <row r="148" spans="1:8">
      <c r="A148" s="13" t="s">
        <v>122</v>
      </c>
      <c r="B148" s="14">
        <v>2003</v>
      </c>
      <c r="C148" s="13" t="s">
        <v>7</v>
      </c>
      <c r="D148" s="15">
        <v>31.58</v>
      </c>
      <c r="E148" s="13" t="s">
        <v>411</v>
      </c>
      <c r="F148" s="13" t="s">
        <v>63</v>
      </c>
      <c r="G148" s="13" t="s">
        <v>412</v>
      </c>
      <c r="H148" s="13" t="s">
        <v>413</v>
      </c>
    </row>
    <row r="149" spans="1:8">
      <c r="A149" s="10" t="s">
        <v>123</v>
      </c>
      <c r="B149" s="11">
        <v>2003</v>
      </c>
      <c r="C149" s="10" t="s">
        <v>7</v>
      </c>
      <c r="D149" s="12">
        <v>21.92</v>
      </c>
      <c r="E149" s="10" t="s">
        <v>411</v>
      </c>
      <c r="F149" s="10" t="s">
        <v>63</v>
      </c>
      <c r="G149" s="10" t="s">
        <v>412</v>
      </c>
      <c r="H149" s="10" t="s">
        <v>413</v>
      </c>
    </row>
    <row r="150" spans="1:8">
      <c r="A150" s="13" t="s">
        <v>164</v>
      </c>
      <c r="B150" s="14">
        <v>2003</v>
      </c>
      <c r="C150" s="13" t="s">
        <v>7</v>
      </c>
      <c r="D150" s="15">
        <v>1.78</v>
      </c>
      <c r="E150" s="13" t="s">
        <v>411</v>
      </c>
      <c r="F150" s="13" t="s">
        <v>63</v>
      </c>
      <c r="G150" s="13" t="s">
        <v>412</v>
      </c>
      <c r="H150" s="13" t="s">
        <v>413</v>
      </c>
    </row>
    <row r="151" spans="1:8">
      <c r="A151" s="10" t="s">
        <v>140</v>
      </c>
      <c r="B151" s="11">
        <v>2003</v>
      </c>
      <c r="C151" s="10" t="s">
        <v>7</v>
      </c>
      <c r="D151" s="12">
        <v>11.85</v>
      </c>
      <c r="E151" s="10" t="s">
        <v>411</v>
      </c>
      <c r="F151" s="10" t="s">
        <v>63</v>
      </c>
      <c r="G151" s="10" t="s">
        <v>412</v>
      </c>
      <c r="H151" s="10" t="s">
        <v>413</v>
      </c>
    </row>
    <row r="152" spans="1:8">
      <c r="A152" s="13" t="s">
        <v>165</v>
      </c>
      <c r="B152" s="14">
        <v>2003</v>
      </c>
      <c r="C152" s="13" t="s">
        <v>7</v>
      </c>
      <c r="D152" s="15">
        <v>5.46</v>
      </c>
      <c r="E152" s="13" t="s">
        <v>411</v>
      </c>
      <c r="F152" s="13" t="s">
        <v>63</v>
      </c>
      <c r="G152" s="13" t="s">
        <v>412</v>
      </c>
      <c r="H152" s="13" t="s">
        <v>413</v>
      </c>
    </row>
    <row r="153" spans="1:8">
      <c r="A153" s="10" t="s">
        <v>122</v>
      </c>
      <c r="B153" s="11">
        <v>2004</v>
      </c>
      <c r="C153" s="10" t="s">
        <v>7</v>
      </c>
      <c r="D153" s="12">
        <v>31.58</v>
      </c>
      <c r="E153" s="10" t="s">
        <v>411</v>
      </c>
      <c r="F153" s="10" t="s">
        <v>63</v>
      </c>
      <c r="G153" s="10" t="s">
        <v>412</v>
      </c>
      <c r="H153" s="10" t="s">
        <v>413</v>
      </c>
    </row>
    <row r="154" spans="1:8">
      <c r="A154" s="13" t="s">
        <v>123</v>
      </c>
      <c r="B154" s="14">
        <v>2004</v>
      </c>
      <c r="C154" s="13" t="s">
        <v>7</v>
      </c>
      <c r="D154" s="15">
        <v>23.76</v>
      </c>
      <c r="E154" s="13" t="s">
        <v>411</v>
      </c>
      <c r="F154" s="13" t="s">
        <v>63</v>
      </c>
      <c r="G154" s="13" t="s">
        <v>412</v>
      </c>
      <c r="H154" s="13" t="s">
        <v>413</v>
      </c>
    </row>
    <row r="155" spans="1:8">
      <c r="A155" s="10" t="s">
        <v>164</v>
      </c>
      <c r="B155" s="11">
        <v>2004</v>
      </c>
      <c r="C155" s="10" t="s">
        <v>7</v>
      </c>
      <c r="D155" s="12">
        <v>1.8</v>
      </c>
      <c r="E155" s="10" t="s">
        <v>411</v>
      </c>
      <c r="F155" s="10" t="s">
        <v>63</v>
      </c>
      <c r="G155" s="10" t="s">
        <v>412</v>
      </c>
      <c r="H155" s="10" t="s">
        <v>413</v>
      </c>
    </row>
    <row r="156" spans="1:8">
      <c r="A156" s="13" t="s">
        <v>140</v>
      </c>
      <c r="B156" s="14">
        <v>2004</v>
      </c>
      <c r="C156" s="13" t="s">
        <v>7</v>
      </c>
      <c r="D156" s="15">
        <v>11.85</v>
      </c>
      <c r="E156" s="13" t="s">
        <v>411</v>
      </c>
      <c r="F156" s="13" t="s">
        <v>63</v>
      </c>
      <c r="G156" s="13" t="s">
        <v>412</v>
      </c>
      <c r="H156" s="13" t="s">
        <v>413</v>
      </c>
    </row>
    <row r="157" spans="1:8">
      <c r="A157" s="10" t="s">
        <v>165</v>
      </c>
      <c r="B157" s="11">
        <v>2004</v>
      </c>
      <c r="C157" s="10" t="s">
        <v>7</v>
      </c>
      <c r="D157" s="12">
        <v>5.46</v>
      </c>
      <c r="E157" s="10" t="s">
        <v>411</v>
      </c>
      <c r="F157" s="10" t="s">
        <v>63</v>
      </c>
      <c r="G157" s="10" t="s">
        <v>412</v>
      </c>
      <c r="H157" s="10" t="s">
        <v>413</v>
      </c>
    </row>
    <row r="158" spans="1:8">
      <c r="A158" s="13" t="s">
        <v>122</v>
      </c>
      <c r="B158" s="14">
        <v>2005</v>
      </c>
      <c r="C158" s="13" t="s">
        <v>7</v>
      </c>
      <c r="D158" s="15">
        <v>31.58</v>
      </c>
      <c r="E158" s="13" t="s">
        <v>411</v>
      </c>
      <c r="F158" s="13" t="s">
        <v>63</v>
      </c>
      <c r="G158" s="13" t="s">
        <v>412</v>
      </c>
      <c r="H158" s="13" t="s">
        <v>413</v>
      </c>
    </row>
    <row r="159" spans="1:8">
      <c r="A159" s="10" t="s">
        <v>123</v>
      </c>
      <c r="B159" s="11">
        <v>2005</v>
      </c>
      <c r="C159" s="10" t="s">
        <v>7</v>
      </c>
      <c r="D159" s="12">
        <v>23.81</v>
      </c>
      <c r="E159" s="10" t="s">
        <v>411</v>
      </c>
      <c r="F159" s="10" t="s">
        <v>63</v>
      </c>
      <c r="G159" s="10" t="s">
        <v>412</v>
      </c>
      <c r="H159" s="10" t="s">
        <v>413</v>
      </c>
    </row>
    <row r="160" spans="1:8">
      <c r="A160" s="13" t="s">
        <v>164</v>
      </c>
      <c r="B160" s="14">
        <v>2005</v>
      </c>
      <c r="C160" s="13" t="s">
        <v>7</v>
      </c>
      <c r="D160" s="15">
        <v>1.8</v>
      </c>
      <c r="E160" s="13" t="s">
        <v>411</v>
      </c>
      <c r="F160" s="13" t="s">
        <v>63</v>
      </c>
      <c r="G160" s="13" t="s">
        <v>412</v>
      </c>
      <c r="H160" s="13" t="s">
        <v>413</v>
      </c>
    </row>
    <row r="161" spans="1:8">
      <c r="A161" s="10" t="s">
        <v>140</v>
      </c>
      <c r="B161" s="11">
        <v>2005</v>
      </c>
      <c r="C161" s="10" t="s">
        <v>7</v>
      </c>
      <c r="D161" s="12">
        <v>11.85</v>
      </c>
      <c r="E161" s="10" t="s">
        <v>411</v>
      </c>
      <c r="F161" s="10" t="s">
        <v>63</v>
      </c>
      <c r="G161" s="10" t="s">
        <v>412</v>
      </c>
      <c r="H161" s="10" t="s">
        <v>413</v>
      </c>
    </row>
    <row r="162" spans="1:8">
      <c r="A162" s="13" t="s">
        <v>165</v>
      </c>
      <c r="B162" s="14">
        <v>2005</v>
      </c>
      <c r="C162" s="13" t="s">
        <v>7</v>
      </c>
      <c r="D162" s="15">
        <v>5.62</v>
      </c>
      <c r="E162" s="13" t="s">
        <v>411</v>
      </c>
      <c r="F162" s="13" t="s">
        <v>63</v>
      </c>
      <c r="G162" s="13" t="s">
        <v>412</v>
      </c>
      <c r="H162" s="13" t="s">
        <v>413</v>
      </c>
    </row>
    <row r="163" spans="1:8">
      <c r="A163" s="10" t="s">
        <v>122</v>
      </c>
      <c r="B163" s="11">
        <v>2006</v>
      </c>
      <c r="C163" s="10" t="s">
        <v>7</v>
      </c>
      <c r="D163" s="12">
        <v>31.58</v>
      </c>
      <c r="E163" s="10" t="s">
        <v>411</v>
      </c>
      <c r="F163" s="10" t="s">
        <v>63</v>
      </c>
      <c r="G163" s="10" t="s">
        <v>412</v>
      </c>
      <c r="H163" s="10" t="s">
        <v>413</v>
      </c>
    </row>
    <row r="164" spans="1:8">
      <c r="A164" s="13" t="s">
        <v>123</v>
      </c>
      <c r="B164" s="14">
        <v>2006</v>
      </c>
      <c r="C164" s="13" t="s">
        <v>7</v>
      </c>
      <c r="D164" s="15">
        <v>23.81</v>
      </c>
      <c r="E164" s="13" t="s">
        <v>411</v>
      </c>
      <c r="F164" s="13" t="s">
        <v>63</v>
      </c>
      <c r="G164" s="13" t="s">
        <v>412</v>
      </c>
      <c r="H164" s="13" t="s">
        <v>413</v>
      </c>
    </row>
    <row r="165" spans="1:8">
      <c r="A165" s="10" t="s">
        <v>164</v>
      </c>
      <c r="B165" s="11">
        <v>2006</v>
      </c>
      <c r="C165" s="10" t="s">
        <v>7</v>
      </c>
      <c r="D165" s="12">
        <v>1.82</v>
      </c>
      <c r="E165" s="10" t="s">
        <v>411</v>
      </c>
      <c r="F165" s="10" t="s">
        <v>63</v>
      </c>
      <c r="G165" s="10" t="s">
        <v>412</v>
      </c>
      <c r="H165" s="10" t="s">
        <v>413</v>
      </c>
    </row>
    <row r="166" spans="1:8">
      <c r="A166" s="13" t="s">
        <v>140</v>
      </c>
      <c r="B166" s="14">
        <v>2006</v>
      </c>
      <c r="C166" s="13" t="s">
        <v>7</v>
      </c>
      <c r="D166" s="15">
        <v>10.97</v>
      </c>
      <c r="E166" s="13" t="s">
        <v>411</v>
      </c>
      <c r="F166" s="13" t="s">
        <v>63</v>
      </c>
      <c r="G166" s="13" t="s">
        <v>412</v>
      </c>
      <c r="H166" s="13" t="s">
        <v>413</v>
      </c>
    </row>
    <row r="167" spans="1:8">
      <c r="A167" s="10" t="s">
        <v>165</v>
      </c>
      <c r="B167" s="11">
        <v>2006</v>
      </c>
      <c r="C167" s="10" t="s">
        <v>7</v>
      </c>
      <c r="D167" s="12">
        <v>6.17</v>
      </c>
      <c r="E167" s="10" t="s">
        <v>411</v>
      </c>
      <c r="F167" s="10" t="s">
        <v>63</v>
      </c>
      <c r="G167" s="10" t="s">
        <v>412</v>
      </c>
      <c r="H167" s="10" t="s">
        <v>413</v>
      </c>
    </row>
    <row r="168" spans="1:8">
      <c r="A168" s="13" t="s">
        <v>122</v>
      </c>
      <c r="B168" s="14">
        <v>2007</v>
      </c>
      <c r="C168" s="13" t="s">
        <v>7</v>
      </c>
      <c r="D168" s="15">
        <v>31.52</v>
      </c>
      <c r="E168" s="13" t="s">
        <v>411</v>
      </c>
      <c r="F168" s="13" t="s">
        <v>63</v>
      </c>
      <c r="G168" s="13" t="s">
        <v>412</v>
      </c>
      <c r="H168" s="13" t="s">
        <v>413</v>
      </c>
    </row>
    <row r="169" spans="1:8">
      <c r="A169" s="10" t="s">
        <v>123</v>
      </c>
      <c r="B169" s="11">
        <v>2007</v>
      </c>
      <c r="C169" s="10" t="s">
        <v>7</v>
      </c>
      <c r="D169" s="12">
        <v>23.81</v>
      </c>
      <c r="E169" s="10" t="s">
        <v>411</v>
      </c>
      <c r="F169" s="10" t="s">
        <v>63</v>
      </c>
      <c r="G169" s="10" t="s">
        <v>412</v>
      </c>
      <c r="H169" s="10" t="s">
        <v>413</v>
      </c>
    </row>
    <row r="170" spans="1:8">
      <c r="A170" s="13" t="s">
        <v>164</v>
      </c>
      <c r="B170" s="14">
        <v>2007</v>
      </c>
      <c r="C170" s="13" t="s">
        <v>7</v>
      </c>
      <c r="D170" s="15">
        <v>1.82</v>
      </c>
      <c r="E170" s="13" t="s">
        <v>411</v>
      </c>
      <c r="F170" s="13" t="s">
        <v>63</v>
      </c>
      <c r="G170" s="13" t="s">
        <v>412</v>
      </c>
      <c r="H170" s="13" t="s">
        <v>413</v>
      </c>
    </row>
    <row r="171" spans="1:8">
      <c r="A171" s="10" t="s">
        <v>140</v>
      </c>
      <c r="B171" s="11">
        <v>2007</v>
      </c>
      <c r="C171" s="10" t="s">
        <v>7</v>
      </c>
      <c r="D171" s="12">
        <v>10.98</v>
      </c>
      <c r="E171" s="10" t="s">
        <v>411</v>
      </c>
      <c r="F171" s="10" t="s">
        <v>63</v>
      </c>
      <c r="G171" s="10" t="s">
        <v>412</v>
      </c>
      <c r="H171" s="10" t="s">
        <v>413</v>
      </c>
    </row>
    <row r="172" spans="1:8">
      <c r="A172" s="13" t="s">
        <v>165</v>
      </c>
      <c r="B172" s="14">
        <v>2007</v>
      </c>
      <c r="C172" s="13" t="s">
        <v>7</v>
      </c>
      <c r="D172" s="15">
        <v>6.2</v>
      </c>
      <c r="E172" s="13" t="s">
        <v>411</v>
      </c>
      <c r="F172" s="13" t="s">
        <v>63</v>
      </c>
      <c r="G172" s="13" t="s">
        <v>412</v>
      </c>
      <c r="H172" s="13" t="s">
        <v>413</v>
      </c>
    </row>
    <row r="173" spans="1:8">
      <c r="A173" s="10" t="s">
        <v>122</v>
      </c>
      <c r="B173" s="11">
        <v>2008</v>
      </c>
      <c r="C173" s="10" t="s">
        <v>7</v>
      </c>
      <c r="D173" s="12">
        <v>31.52</v>
      </c>
      <c r="E173" s="10" t="s">
        <v>411</v>
      </c>
      <c r="F173" s="10" t="s">
        <v>63</v>
      </c>
      <c r="G173" s="10" t="s">
        <v>412</v>
      </c>
      <c r="H173" s="10" t="s">
        <v>413</v>
      </c>
    </row>
    <row r="174" spans="1:8">
      <c r="A174" s="13" t="s">
        <v>123</v>
      </c>
      <c r="B174" s="14">
        <v>2008</v>
      </c>
      <c r="C174" s="13" t="s">
        <v>7</v>
      </c>
      <c r="D174" s="15">
        <v>23.81</v>
      </c>
      <c r="E174" s="13" t="s">
        <v>411</v>
      </c>
      <c r="F174" s="13" t="s">
        <v>63</v>
      </c>
      <c r="G174" s="13" t="s">
        <v>412</v>
      </c>
      <c r="H174" s="13" t="s">
        <v>413</v>
      </c>
    </row>
    <row r="175" spans="1:8">
      <c r="A175" s="10" t="s">
        <v>164</v>
      </c>
      <c r="B175" s="11">
        <v>2008</v>
      </c>
      <c r="C175" s="10" t="s">
        <v>7</v>
      </c>
      <c r="D175" s="12">
        <v>1.93</v>
      </c>
      <c r="E175" s="10" t="s">
        <v>411</v>
      </c>
      <c r="F175" s="10" t="s">
        <v>63</v>
      </c>
      <c r="G175" s="10" t="s">
        <v>412</v>
      </c>
      <c r="H175" s="10" t="s">
        <v>413</v>
      </c>
    </row>
    <row r="176" spans="1:8">
      <c r="A176" s="13" t="s">
        <v>140</v>
      </c>
      <c r="B176" s="14">
        <v>2008</v>
      </c>
      <c r="C176" s="13" t="s">
        <v>7</v>
      </c>
      <c r="D176" s="15">
        <v>10.98</v>
      </c>
      <c r="E176" s="13" t="s">
        <v>411</v>
      </c>
      <c r="F176" s="13" t="s">
        <v>63</v>
      </c>
      <c r="G176" s="13" t="s">
        <v>412</v>
      </c>
      <c r="H176" s="13" t="s">
        <v>413</v>
      </c>
    </row>
    <row r="177" spans="1:8">
      <c r="A177" s="10" t="s">
        <v>165</v>
      </c>
      <c r="B177" s="11">
        <v>2008</v>
      </c>
      <c r="C177" s="10" t="s">
        <v>7</v>
      </c>
      <c r="D177" s="12">
        <v>6.54</v>
      </c>
      <c r="E177" s="10" t="s">
        <v>411</v>
      </c>
      <c r="F177" s="10" t="s">
        <v>63</v>
      </c>
      <c r="G177" s="10" t="s">
        <v>412</v>
      </c>
      <c r="H177" s="10" t="s">
        <v>413</v>
      </c>
    </row>
    <row r="178" spans="1:8">
      <c r="A178" s="13" t="s">
        <v>122</v>
      </c>
      <c r="B178" s="14">
        <v>2009</v>
      </c>
      <c r="C178" s="13" t="s">
        <v>7</v>
      </c>
      <c r="D178" s="15">
        <v>31.52</v>
      </c>
      <c r="E178" s="13" t="s">
        <v>411</v>
      </c>
      <c r="F178" s="13" t="s">
        <v>63</v>
      </c>
      <c r="G178" s="13" t="s">
        <v>412</v>
      </c>
      <c r="H178" s="13" t="s">
        <v>413</v>
      </c>
    </row>
    <row r="179" spans="1:8">
      <c r="A179" s="10" t="s">
        <v>123</v>
      </c>
      <c r="B179" s="11">
        <v>2009</v>
      </c>
      <c r="C179" s="10" t="s">
        <v>7</v>
      </c>
      <c r="D179" s="12">
        <v>25.41</v>
      </c>
      <c r="E179" s="10" t="s">
        <v>411</v>
      </c>
      <c r="F179" s="10" t="s">
        <v>63</v>
      </c>
      <c r="G179" s="10" t="s">
        <v>412</v>
      </c>
      <c r="H179" s="10" t="s">
        <v>413</v>
      </c>
    </row>
    <row r="180" spans="1:8">
      <c r="A180" s="13" t="s">
        <v>164</v>
      </c>
      <c r="B180" s="14">
        <v>2009</v>
      </c>
      <c r="C180" s="13" t="s">
        <v>7</v>
      </c>
      <c r="D180" s="15">
        <v>1.94</v>
      </c>
      <c r="E180" s="13" t="s">
        <v>411</v>
      </c>
      <c r="F180" s="13" t="s">
        <v>63</v>
      </c>
      <c r="G180" s="13" t="s">
        <v>412</v>
      </c>
      <c r="H180" s="13" t="s">
        <v>413</v>
      </c>
    </row>
    <row r="181" spans="1:8">
      <c r="A181" s="10" t="s">
        <v>140</v>
      </c>
      <c r="B181" s="11">
        <v>2009</v>
      </c>
      <c r="C181" s="10" t="s">
        <v>7</v>
      </c>
      <c r="D181" s="12">
        <v>10.86</v>
      </c>
      <c r="E181" s="10" t="s">
        <v>411</v>
      </c>
      <c r="F181" s="10" t="s">
        <v>63</v>
      </c>
      <c r="G181" s="10" t="s">
        <v>412</v>
      </c>
      <c r="H181" s="10" t="s">
        <v>413</v>
      </c>
    </row>
    <row r="182" spans="1:8">
      <c r="A182" s="13" t="s">
        <v>165</v>
      </c>
      <c r="B182" s="14">
        <v>2009</v>
      </c>
      <c r="C182" s="13" t="s">
        <v>7</v>
      </c>
      <c r="D182" s="15">
        <v>6.61</v>
      </c>
      <c r="E182" s="13" t="s">
        <v>411</v>
      </c>
      <c r="F182" s="13" t="s">
        <v>63</v>
      </c>
      <c r="G182" s="13" t="s">
        <v>412</v>
      </c>
      <c r="H182" s="13" t="s">
        <v>413</v>
      </c>
    </row>
    <row r="183" spans="1:8">
      <c r="A183" s="10" t="s">
        <v>122</v>
      </c>
      <c r="B183" s="11">
        <v>2010</v>
      </c>
      <c r="C183" s="10" t="s">
        <v>7</v>
      </c>
      <c r="D183" s="12">
        <v>31.52</v>
      </c>
      <c r="E183" s="10" t="s">
        <v>411</v>
      </c>
      <c r="F183" s="10" t="s">
        <v>63</v>
      </c>
      <c r="G183" s="10" t="s">
        <v>412</v>
      </c>
      <c r="H183" s="10" t="s">
        <v>413</v>
      </c>
    </row>
    <row r="184" spans="1:8">
      <c r="A184" s="13" t="s">
        <v>123</v>
      </c>
      <c r="B184" s="14">
        <v>2010</v>
      </c>
      <c r="C184" s="13" t="s">
        <v>7</v>
      </c>
      <c r="D184" s="15">
        <v>26.74</v>
      </c>
      <c r="E184" s="13" t="s">
        <v>411</v>
      </c>
      <c r="F184" s="13" t="s">
        <v>63</v>
      </c>
      <c r="G184" s="13" t="s">
        <v>412</v>
      </c>
      <c r="H184" s="13" t="s">
        <v>413</v>
      </c>
    </row>
    <row r="185" spans="1:8">
      <c r="A185" s="10" t="s">
        <v>164</v>
      </c>
      <c r="B185" s="11">
        <v>2010</v>
      </c>
      <c r="C185" s="10" t="s">
        <v>7</v>
      </c>
      <c r="D185" s="12">
        <v>1.95</v>
      </c>
      <c r="E185" s="10" t="s">
        <v>411</v>
      </c>
      <c r="F185" s="10" t="s">
        <v>63</v>
      </c>
      <c r="G185" s="10" t="s">
        <v>412</v>
      </c>
      <c r="H185" s="10" t="s">
        <v>413</v>
      </c>
    </row>
    <row r="186" spans="1:8">
      <c r="A186" s="13" t="s">
        <v>140</v>
      </c>
      <c r="B186" s="14">
        <v>2010</v>
      </c>
      <c r="C186" s="13" t="s">
        <v>7</v>
      </c>
      <c r="D186" s="15">
        <v>10.86</v>
      </c>
      <c r="E186" s="13" t="s">
        <v>411</v>
      </c>
      <c r="F186" s="13" t="s">
        <v>63</v>
      </c>
      <c r="G186" s="13" t="s">
        <v>412</v>
      </c>
      <c r="H186" s="13" t="s">
        <v>413</v>
      </c>
    </row>
    <row r="187" spans="1:8">
      <c r="A187" s="10" t="s">
        <v>165</v>
      </c>
      <c r="B187" s="11">
        <v>2010</v>
      </c>
      <c r="C187" s="10" t="s">
        <v>7</v>
      </c>
      <c r="D187" s="12">
        <v>6.61</v>
      </c>
      <c r="E187" s="10" t="s">
        <v>411</v>
      </c>
      <c r="F187" s="10" t="s">
        <v>63</v>
      </c>
      <c r="G187" s="10" t="s">
        <v>412</v>
      </c>
      <c r="H187" s="10" t="s">
        <v>413</v>
      </c>
    </row>
    <row r="188" spans="1:8">
      <c r="A188" s="13" t="s">
        <v>122</v>
      </c>
      <c r="B188" s="14">
        <v>2011</v>
      </c>
      <c r="C188" s="13" t="s">
        <v>7</v>
      </c>
      <c r="D188" s="15">
        <v>29.45</v>
      </c>
      <c r="E188" s="13" t="s">
        <v>411</v>
      </c>
      <c r="F188" s="13" t="s">
        <v>63</v>
      </c>
      <c r="G188" s="13" t="s">
        <v>412</v>
      </c>
      <c r="H188" s="13" t="s">
        <v>413</v>
      </c>
    </row>
    <row r="189" spans="1:8">
      <c r="A189" s="10" t="s">
        <v>123</v>
      </c>
      <c r="B189" s="11">
        <v>2011</v>
      </c>
      <c r="C189" s="10" t="s">
        <v>7</v>
      </c>
      <c r="D189" s="12">
        <v>30.3</v>
      </c>
      <c r="E189" s="10" t="s">
        <v>411</v>
      </c>
      <c r="F189" s="10" t="s">
        <v>63</v>
      </c>
      <c r="G189" s="10" t="s">
        <v>412</v>
      </c>
      <c r="H189" s="10" t="s">
        <v>413</v>
      </c>
    </row>
    <row r="190" spans="1:8">
      <c r="A190" s="13" t="s">
        <v>164</v>
      </c>
      <c r="B190" s="14">
        <v>2011</v>
      </c>
      <c r="C190" s="13" t="s">
        <v>7</v>
      </c>
      <c r="D190" s="15">
        <v>1.98</v>
      </c>
      <c r="E190" s="13" t="s">
        <v>411</v>
      </c>
      <c r="F190" s="13" t="s">
        <v>63</v>
      </c>
      <c r="G190" s="13" t="s">
        <v>412</v>
      </c>
      <c r="H190" s="13" t="s">
        <v>413</v>
      </c>
    </row>
    <row r="191" spans="1:8">
      <c r="A191" s="10" t="s">
        <v>140</v>
      </c>
      <c r="B191" s="11">
        <v>2011</v>
      </c>
      <c r="C191" s="10" t="s">
        <v>7</v>
      </c>
      <c r="D191" s="12">
        <v>10.66</v>
      </c>
      <c r="E191" s="10" t="s">
        <v>411</v>
      </c>
      <c r="F191" s="10" t="s">
        <v>63</v>
      </c>
      <c r="G191" s="10" t="s">
        <v>412</v>
      </c>
      <c r="H191" s="10" t="s">
        <v>413</v>
      </c>
    </row>
    <row r="192" spans="1:8">
      <c r="A192" s="13" t="s">
        <v>165</v>
      </c>
      <c r="B192" s="14">
        <v>2011</v>
      </c>
      <c r="C192" s="13" t="s">
        <v>7</v>
      </c>
      <c r="D192" s="15">
        <v>6.66</v>
      </c>
      <c r="E192" s="13" t="s">
        <v>411</v>
      </c>
      <c r="F192" s="13" t="s">
        <v>63</v>
      </c>
      <c r="G192" s="13" t="s">
        <v>412</v>
      </c>
      <c r="H192" s="13" t="s">
        <v>413</v>
      </c>
    </row>
    <row r="193" spans="1:8">
      <c r="A193" s="10" t="s">
        <v>122</v>
      </c>
      <c r="B193" s="11">
        <v>2012</v>
      </c>
      <c r="C193" s="10" t="s">
        <v>7</v>
      </c>
      <c r="D193" s="12">
        <v>27.28</v>
      </c>
      <c r="E193" s="10" t="s">
        <v>411</v>
      </c>
      <c r="F193" s="10" t="s">
        <v>63</v>
      </c>
      <c r="G193" s="10" t="s">
        <v>412</v>
      </c>
      <c r="H193" s="10" t="s">
        <v>413</v>
      </c>
    </row>
    <row r="194" spans="1:8">
      <c r="A194" s="13" t="s">
        <v>123</v>
      </c>
      <c r="B194" s="14">
        <v>2012</v>
      </c>
      <c r="C194" s="13" t="s">
        <v>7</v>
      </c>
      <c r="D194" s="15">
        <v>32.61</v>
      </c>
      <c r="E194" s="13" t="s">
        <v>411</v>
      </c>
      <c r="F194" s="13" t="s">
        <v>63</v>
      </c>
      <c r="G194" s="13" t="s">
        <v>412</v>
      </c>
      <c r="H194" s="13" t="s">
        <v>413</v>
      </c>
    </row>
    <row r="195" spans="1:8">
      <c r="A195" s="10" t="s">
        <v>164</v>
      </c>
      <c r="B195" s="11">
        <v>2012</v>
      </c>
      <c r="C195" s="10" t="s">
        <v>7</v>
      </c>
      <c r="D195" s="12">
        <v>1.99</v>
      </c>
      <c r="E195" s="10" t="s">
        <v>411</v>
      </c>
      <c r="F195" s="10" t="s">
        <v>63</v>
      </c>
      <c r="G195" s="10" t="s">
        <v>412</v>
      </c>
      <c r="H195" s="10" t="s">
        <v>413</v>
      </c>
    </row>
    <row r="196" spans="1:8">
      <c r="A196" s="13" t="s">
        <v>140</v>
      </c>
      <c r="B196" s="14">
        <v>2012</v>
      </c>
      <c r="C196" s="13" t="s">
        <v>7</v>
      </c>
      <c r="D196" s="15">
        <v>9.9499999999999993</v>
      </c>
      <c r="E196" s="13" t="s">
        <v>411</v>
      </c>
      <c r="F196" s="13" t="s">
        <v>63</v>
      </c>
      <c r="G196" s="13" t="s">
        <v>412</v>
      </c>
      <c r="H196" s="13" t="s">
        <v>413</v>
      </c>
    </row>
    <row r="197" spans="1:8">
      <c r="A197" s="10" t="s">
        <v>165</v>
      </c>
      <c r="B197" s="11">
        <v>2012</v>
      </c>
      <c r="C197" s="10" t="s">
        <v>7</v>
      </c>
      <c r="D197" s="12">
        <v>5.36</v>
      </c>
      <c r="E197" s="10" t="s">
        <v>411</v>
      </c>
      <c r="F197" s="10" t="s">
        <v>63</v>
      </c>
      <c r="G197" s="10" t="s">
        <v>412</v>
      </c>
      <c r="H197" s="10" t="s">
        <v>413</v>
      </c>
    </row>
    <row r="198" spans="1:8">
      <c r="A198" s="13" t="s">
        <v>122</v>
      </c>
      <c r="B198" s="14">
        <v>2013</v>
      </c>
      <c r="C198" s="13" t="s">
        <v>7</v>
      </c>
      <c r="D198" s="15">
        <v>23.1</v>
      </c>
      <c r="E198" s="13" t="s">
        <v>411</v>
      </c>
      <c r="F198" s="13" t="s">
        <v>63</v>
      </c>
      <c r="G198" s="13" t="s">
        <v>412</v>
      </c>
      <c r="H198" s="13" t="s">
        <v>413</v>
      </c>
    </row>
    <row r="199" spans="1:8">
      <c r="A199" s="10" t="s">
        <v>123</v>
      </c>
      <c r="B199" s="11">
        <v>2013</v>
      </c>
      <c r="C199" s="10" t="s">
        <v>7</v>
      </c>
      <c r="D199" s="12">
        <v>34.1</v>
      </c>
      <c r="E199" s="10" t="s">
        <v>411</v>
      </c>
      <c r="F199" s="10" t="s">
        <v>63</v>
      </c>
      <c r="G199" s="10" t="s">
        <v>412</v>
      </c>
      <c r="H199" s="10" t="s">
        <v>413</v>
      </c>
    </row>
    <row r="200" spans="1:8">
      <c r="A200" s="13" t="s">
        <v>164</v>
      </c>
      <c r="B200" s="14">
        <v>2013</v>
      </c>
      <c r="C200" s="13" t="s">
        <v>7</v>
      </c>
      <c r="D200" s="15">
        <v>2.0099999999999998</v>
      </c>
      <c r="E200" s="13" t="s">
        <v>411</v>
      </c>
      <c r="F200" s="13" t="s">
        <v>63</v>
      </c>
      <c r="G200" s="13" t="s">
        <v>412</v>
      </c>
      <c r="H200" s="13" t="s">
        <v>413</v>
      </c>
    </row>
    <row r="201" spans="1:8">
      <c r="A201" s="10" t="s">
        <v>140</v>
      </c>
      <c r="B201" s="11">
        <v>2013</v>
      </c>
      <c r="C201" s="10" t="s">
        <v>7</v>
      </c>
      <c r="D201" s="12">
        <v>9.91</v>
      </c>
      <c r="E201" s="10" t="s">
        <v>411</v>
      </c>
      <c r="F201" s="10" t="s">
        <v>63</v>
      </c>
      <c r="G201" s="10" t="s">
        <v>412</v>
      </c>
      <c r="H201" s="10" t="s">
        <v>413</v>
      </c>
    </row>
    <row r="202" spans="1:8">
      <c r="A202" s="13" t="s">
        <v>165</v>
      </c>
      <c r="B202" s="14">
        <v>2013</v>
      </c>
      <c r="C202" s="13" t="s">
        <v>7</v>
      </c>
      <c r="D202" s="15">
        <v>4.1500000000000004</v>
      </c>
      <c r="E202" s="13" t="s">
        <v>411</v>
      </c>
      <c r="F202" s="13" t="s">
        <v>63</v>
      </c>
      <c r="G202" s="13" t="s">
        <v>412</v>
      </c>
      <c r="H202" s="13" t="s">
        <v>413</v>
      </c>
    </row>
    <row r="203" spans="1:8">
      <c r="A203" s="10" t="s">
        <v>122</v>
      </c>
      <c r="B203" s="11">
        <v>2014</v>
      </c>
      <c r="C203" s="10" t="s">
        <v>7</v>
      </c>
      <c r="D203" s="12">
        <v>21.22</v>
      </c>
      <c r="E203" s="10" t="s">
        <v>411</v>
      </c>
      <c r="F203" s="10" t="s">
        <v>63</v>
      </c>
      <c r="G203" s="10" t="s">
        <v>412</v>
      </c>
      <c r="H203" s="10" t="s">
        <v>413</v>
      </c>
    </row>
    <row r="204" spans="1:8">
      <c r="A204" s="13" t="s">
        <v>123</v>
      </c>
      <c r="B204" s="14">
        <v>2014</v>
      </c>
      <c r="C204" s="13" t="s">
        <v>7</v>
      </c>
      <c r="D204" s="15">
        <v>34.119999999999997</v>
      </c>
      <c r="E204" s="13" t="s">
        <v>411</v>
      </c>
      <c r="F204" s="13" t="s">
        <v>63</v>
      </c>
      <c r="G204" s="13" t="s">
        <v>412</v>
      </c>
      <c r="H204" s="13" t="s">
        <v>413</v>
      </c>
    </row>
    <row r="205" spans="1:8">
      <c r="A205" s="10" t="s">
        <v>164</v>
      </c>
      <c r="B205" s="11">
        <v>2014</v>
      </c>
      <c r="C205" s="10" t="s">
        <v>7</v>
      </c>
      <c r="D205" s="12">
        <v>2.0299999999999998</v>
      </c>
      <c r="E205" s="10" t="s">
        <v>411</v>
      </c>
      <c r="F205" s="10" t="s">
        <v>63</v>
      </c>
      <c r="G205" s="10" t="s">
        <v>412</v>
      </c>
      <c r="H205" s="10" t="s">
        <v>413</v>
      </c>
    </row>
    <row r="206" spans="1:8">
      <c r="A206" s="13" t="s">
        <v>140</v>
      </c>
      <c r="B206" s="14">
        <v>2014</v>
      </c>
      <c r="C206" s="13" t="s">
        <v>7</v>
      </c>
      <c r="D206" s="15">
        <v>9.94</v>
      </c>
      <c r="E206" s="13" t="s">
        <v>411</v>
      </c>
      <c r="F206" s="13" t="s">
        <v>63</v>
      </c>
      <c r="G206" s="13" t="s">
        <v>412</v>
      </c>
      <c r="H206" s="13" t="s">
        <v>413</v>
      </c>
    </row>
    <row r="207" spans="1:8">
      <c r="A207" s="10" t="s">
        <v>165</v>
      </c>
      <c r="B207" s="11">
        <v>2014</v>
      </c>
      <c r="C207" s="10" t="s">
        <v>7</v>
      </c>
      <c r="D207" s="12">
        <v>4.51</v>
      </c>
      <c r="E207" s="10" t="s">
        <v>411</v>
      </c>
      <c r="F207" s="10" t="s">
        <v>63</v>
      </c>
      <c r="G207" s="10" t="s">
        <v>412</v>
      </c>
      <c r="H207" s="10" t="s">
        <v>413</v>
      </c>
    </row>
    <row r="208" spans="1:8">
      <c r="A208" s="13" t="s">
        <v>122</v>
      </c>
      <c r="B208" s="14">
        <v>2015</v>
      </c>
      <c r="C208" s="13" t="s">
        <v>7</v>
      </c>
      <c r="D208" s="15">
        <v>20.76</v>
      </c>
      <c r="E208" s="13" t="s">
        <v>411</v>
      </c>
      <c r="F208" s="13" t="s">
        <v>63</v>
      </c>
      <c r="G208" s="13" t="s">
        <v>412</v>
      </c>
      <c r="H208" s="13" t="s">
        <v>413</v>
      </c>
    </row>
    <row r="209" spans="1:8">
      <c r="A209" s="10" t="s">
        <v>123</v>
      </c>
      <c r="B209" s="11">
        <v>2015</v>
      </c>
      <c r="C209" s="10" t="s">
        <v>7</v>
      </c>
      <c r="D209" s="12">
        <v>34.119999999999997</v>
      </c>
      <c r="E209" s="10" t="s">
        <v>411</v>
      </c>
      <c r="F209" s="10" t="s">
        <v>63</v>
      </c>
      <c r="G209" s="10" t="s">
        <v>412</v>
      </c>
      <c r="H209" s="10" t="s">
        <v>413</v>
      </c>
    </row>
    <row r="210" spans="1:8">
      <c r="A210" s="13" t="s">
        <v>164</v>
      </c>
      <c r="B210" s="14">
        <v>2015</v>
      </c>
      <c r="C210" s="13" t="s">
        <v>7</v>
      </c>
      <c r="D210" s="15">
        <v>2.08</v>
      </c>
      <c r="E210" s="13" t="s">
        <v>411</v>
      </c>
      <c r="F210" s="13" t="s">
        <v>63</v>
      </c>
      <c r="G210" s="13" t="s">
        <v>412</v>
      </c>
      <c r="H210" s="13" t="s">
        <v>413</v>
      </c>
    </row>
    <row r="211" spans="1:8">
      <c r="A211" s="10" t="s">
        <v>140</v>
      </c>
      <c r="B211" s="11">
        <v>2015</v>
      </c>
      <c r="C211" s="10" t="s">
        <v>7</v>
      </c>
      <c r="D211" s="12">
        <v>9.49</v>
      </c>
      <c r="E211" s="10" t="s">
        <v>411</v>
      </c>
      <c r="F211" s="10" t="s">
        <v>63</v>
      </c>
      <c r="G211" s="10" t="s">
        <v>412</v>
      </c>
      <c r="H211" s="10" t="s">
        <v>413</v>
      </c>
    </row>
    <row r="212" spans="1:8">
      <c r="A212" s="13" t="s">
        <v>165</v>
      </c>
      <c r="B212" s="14">
        <v>2015</v>
      </c>
      <c r="C212" s="13" t="s">
        <v>7</v>
      </c>
      <c r="D212" s="15">
        <v>2.69</v>
      </c>
      <c r="E212" s="13" t="s">
        <v>411</v>
      </c>
      <c r="F212" s="13" t="s">
        <v>63</v>
      </c>
      <c r="G212" s="13" t="s">
        <v>412</v>
      </c>
      <c r="H212" s="13" t="s">
        <v>413</v>
      </c>
    </row>
    <row r="213" spans="1:8">
      <c r="A213" s="10" t="s">
        <v>122</v>
      </c>
      <c r="B213" s="11">
        <v>2016</v>
      </c>
      <c r="C213" s="10" t="s">
        <v>7</v>
      </c>
      <c r="D213" s="12">
        <v>15.44</v>
      </c>
      <c r="E213" s="10" t="s">
        <v>411</v>
      </c>
      <c r="F213" s="10" t="s">
        <v>63</v>
      </c>
      <c r="G213" s="10" t="s">
        <v>412</v>
      </c>
      <c r="H213" s="10" t="s">
        <v>413</v>
      </c>
    </row>
    <row r="214" spans="1:8">
      <c r="A214" s="13" t="s">
        <v>123</v>
      </c>
      <c r="B214" s="14">
        <v>2016</v>
      </c>
      <c r="C214" s="13" t="s">
        <v>7</v>
      </c>
      <c r="D214" s="15">
        <v>35.049999999999997</v>
      </c>
      <c r="E214" s="13" t="s">
        <v>411</v>
      </c>
      <c r="F214" s="13" t="s">
        <v>63</v>
      </c>
      <c r="G214" s="13" t="s">
        <v>412</v>
      </c>
      <c r="H214" s="13" t="s">
        <v>413</v>
      </c>
    </row>
    <row r="215" spans="1:8">
      <c r="A215" s="10" t="s">
        <v>164</v>
      </c>
      <c r="B215" s="11">
        <v>2016</v>
      </c>
      <c r="C215" s="10" t="s">
        <v>7</v>
      </c>
      <c r="D215" s="12">
        <v>2.13</v>
      </c>
      <c r="E215" s="10" t="s">
        <v>411</v>
      </c>
      <c r="F215" s="10" t="s">
        <v>63</v>
      </c>
      <c r="G215" s="10" t="s">
        <v>412</v>
      </c>
      <c r="H215" s="10" t="s">
        <v>413</v>
      </c>
    </row>
    <row r="216" spans="1:8">
      <c r="A216" s="13" t="s">
        <v>140</v>
      </c>
      <c r="B216" s="14">
        <v>2016</v>
      </c>
      <c r="C216" s="13" t="s">
        <v>7</v>
      </c>
      <c r="D216" s="15">
        <v>9.26</v>
      </c>
      <c r="E216" s="13" t="s">
        <v>411</v>
      </c>
      <c r="F216" s="13" t="s">
        <v>63</v>
      </c>
      <c r="G216" s="13" t="s">
        <v>412</v>
      </c>
      <c r="H216" s="13" t="s">
        <v>413</v>
      </c>
    </row>
    <row r="217" spans="1:8">
      <c r="A217" s="10" t="s">
        <v>165</v>
      </c>
      <c r="B217" s="11">
        <v>2016</v>
      </c>
      <c r="C217" s="10" t="s">
        <v>7</v>
      </c>
      <c r="D217" s="12">
        <v>2.95</v>
      </c>
      <c r="E217" s="10" t="s">
        <v>411</v>
      </c>
      <c r="F217" s="10" t="s">
        <v>63</v>
      </c>
      <c r="G217" s="10" t="s">
        <v>412</v>
      </c>
      <c r="H217" s="10" t="s">
        <v>413</v>
      </c>
    </row>
    <row r="218" spans="1:8">
      <c r="A218" s="13" t="s">
        <v>122</v>
      </c>
      <c r="B218" s="14">
        <v>2017</v>
      </c>
      <c r="C218" s="13" t="s">
        <v>7</v>
      </c>
      <c r="D218" s="15">
        <v>15.2</v>
      </c>
      <c r="E218" s="13" t="s">
        <v>411</v>
      </c>
      <c r="F218" s="13" t="s">
        <v>63</v>
      </c>
      <c r="G218" s="13" t="s">
        <v>412</v>
      </c>
      <c r="H218" s="13" t="s">
        <v>413</v>
      </c>
    </row>
    <row r="219" spans="1:8">
      <c r="A219" s="10" t="s">
        <v>123</v>
      </c>
      <c r="B219" s="11">
        <v>2017</v>
      </c>
      <c r="C219" s="10" t="s">
        <v>7</v>
      </c>
      <c r="D219" s="12">
        <v>35.14</v>
      </c>
      <c r="E219" s="10" t="s">
        <v>411</v>
      </c>
      <c r="F219" s="10" t="s">
        <v>63</v>
      </c>
      <c r="G219" s="10" t="s">
        <v>412</v>
      </c>
      <c r="H219" s="10" t="s">
        <v>413</v>
      </c>
    </row>
    <row r="220" spans="1:8">
      <c r="A220" s="13" t="s">
        <v>164</v>
      </c>
      <c r="B220" s="14">
        <v>2017</v>
      </c>
      <c r="C220" s="13" t="s">
        <v>7</v>
      </c>
      <c r="D220" s="15">
        <v>2.17</v>
      </c>
      <c r="E220" s="13" t="s">
        <v>411</v>
      </c>
      <c r="F220" s="13" t="s">
        <v>63</v>
      </c>
      <c r="G220" s="13" t="s">
        <v>412</v>
      </c>
      <c r="H220" s="13" t="s">
        <v>413</v>
      </c>
    </row>
    <row r="221" spans="1:8">
      <c r="A221" s="10" t="s">
        <v>140</v>
      </c>
      <c r="B221" s="11">
        <v>2017</v>
      </c>
      <c r="C221" s="10" t="s">
        <v>7</v>
      </c>
      <c r="D221" s="12">
        <v>9.26</v>
      </c>
      <c r="E221" s="10" t="s">
        <v>411</v>
      </c>
      <c r="F221" s="10" t="s">
        <v>63</v>
      </c>
      <c r="G221" s="10" t="s">
        <v>412</v>
      </c>
      <c r="H221" s="10" t="s">
        <v>413</v>
      </c>
    </row>
    <row r="222" spans="1:8">
      <c r="A222" s="13" t="s">
        <v>165</v>
      </c>
      <c r="B222" s="14">
        <v>2017</v>
      </c>
      <c r="C222" s="13" t="s">
        <v>7</v>
      </c>
      <c r="D222" s="15">
        <v>2.7</v>
      </c>
      <c r="E222" s="13" t="s">
        <v>411</v>
      </c>
      <c r="F222" s="13" t="s">
        <v>63</v>
      </c>
      <c r="G222" s="13" t="s">
        <v>412</v>
      </c>
      <c r="H222" s="13" t="s">
        <v>413</v>
      </c>
    </row>
    <row r="223" spans="1:8">
      <c r="A223" s="10" t="s">
        <v>122</v>
      </c>
      <c r="B223" s="11">
        <v>2018</v>
      </c>
      <c r="C223" s="10" t="s">
        <v>7</v>
      </c>
      <c r="D223" s="12">
        <v>12.37</v>
      </c>
      <c r="E223" s="10" t="s">
        <v>411</v>
      </c>
      <c r="F223" s="10" t="s">
        <v>63</v>
      </c>
      <c r="G223" s="10" t="s">
        <v>412</v>
      </c>
      <c r="H223" s="10" t="s">
        <v>413</v>
      </c>
    </row>
    <row r="224" spans="1:8">
      <c r="A224" s="13" t="s">
        <v>123</v>
      </c>
      <c r="B224" s="14">
        <v>2018</v>
      </c>
      <c r="C224" s="13" t="s">
        <v>7</v>
      </c>
      <c r="D224" s="15">
        <v>35.35</v>
      </c>
      <c r="E224" s="13" t="s">
        <v>411</v>
      </c>
      <c r="F224" s="13" t="s">
        <v>63</v>
      </c>
      <c r="G224" s="13" t="s">
        <v>412</v>
      </c>
      <c r="H224" s="13" t="s">
        <v>413</v>
      </c>
    </row>
    <row r="225" spans="1:8">
      <c r="A225" s="10" t="s">
        <v>164</v>
      </c>
      <c r="B225" s="11">
        <v>2018</v>
      </c>
      <c r="C225" s="10" t="s">
        <v>7</v>
      </c>
      <c r="D225" s="12">
        <v>2.1800000000000002</v>
      </c>
      <c r="E225" s="10" t="s">
        <v>411</v>
      </c>
      <c r="F225" s="10" t="s">
        <v>63</v>
      </c>
      <c r="G225" s="10" t="s">
        <v>412</v>
      </c>
      <c r="H225" s="10" t="s">
        <v>413</v>
      </c>
    </row>
    <row r="226" spans="1:8">
      <c r="A226" s="13" t="s">
        <v>140</v>
      </c>
      <c r="B226" s="14">
        <v>2018</v>
      </c>
      <c r="C226" s="13" t="s">
        <v>7</v>
      </c>
      <c r="D226" s="15">
        <v>9.26</v>
      </c>
      <c r="E226" s="13" t="s">
        <v>411</v>
      </c>
      <c r="F226" s="13" t="s">
        <v>63</v>
      </c>
      <c r="G226" s="13" t="s">
        <v>412</v>
      </c>
      <c r="H226" s="13" t="s">
        <v>413</v>
      </c>
    </row>
    <row r="227" spans="1:8">
      <c r="A227" s="10" t="s">
        <v>165</v>
      </c>
      <c r="B227" s="11">
        <v>2018</v>
      </c>
      <c r="C227" s="10" t="s">
        <v>7</v>
      </c>
      <c r="D227" s="12">
        <v>2.0699999999999998</v>
      </c>
      <c r="E227" s="10" t="s">
        <v>411</v>
      </c>
      <c r="F227" s="10" t="s">
        <v>63</v>
      </c>
      <c r="G227" s="10" t="s">
        <v>412</v>
      </c>
      <c r="H227" s="10" t="s">
        <v>413</v>
      </c>
    </row>
    <row r="228" spans="1:8">
      <c r="A228" s="13" t="s">
        <v>122</v>
      </c>
      <c r="B228" s="14">
        <v>2019</v>
      </c>
      <c r="C228" s="13" t="s">
        <v>7</v>
      </c>
      <c r="D228" s="15">
        <v>9.65</v>
      </c>
      <c r="E228" s="13" t="s">
        <v>411</v>
      </c>
      <c r="F228" s="13" t="s">
        <v>63</v>
      </c>
      <c r="G228" s="13" t="s">
        <v>412</v>
      </c>
      <c r="H228" s="13" t="s">
        <v>413</v>
      </c>
    </row>
    <row r="229" spans="1:8">
      <c r="A229" s="10" t="s">
        <v>123</v>
      </c>
      <c r="B229" s="11">
        <v>2019</v>
      </c>
      <c r="C229" s="10" t="s">
        <v>7</v>
      </c>
      <c r="D229" s="12">
        <v>36.07</v>
      </c>
      <c r="E229" s="10" t="s">
        <v>411</v>
      </c>
      <c r="F229" s="10" t="s">
        <v>63</v>
      </c>
      <c r="G229" s="10" t="s">
        <v>412</v>
      </c>
      <c r="H229" s="10" t="s">
        <v>413</v>
      </c>
    </row>
    <row r="230" spans="1:8">
      <c r="A230" s="13" t="s">
        <v>164</v>
      </c>
      <c r="B230" s="14">
        <v>2019</v>
      </c>
      <c r="C230" s="13" t="s">
        <v>7</v>
      </c>
      <c r="D230" s="15">
        <v>2.1800000000000002</v>
      </c>
      <c r="E230" s="13" t="s">
        <v>411</v>
      </c>
      <c r="F230" s="13" t="s">
        <v>63</v>
      </c>
      <c r="G230" s="13" t="s">
        <v>412</v>
      </c>
      <c r="H230" s="13" t="s">
        <v>413</v>
      </c>
    </row>
    <row r="231" spans="1:8">
      <c r="A231" s="10" t="s">
        <v>140</v>
      </c>
      <c r="B231" s="11">
        <v>2019</v>
      </c>
      <c r="C231" s="10" t="s">
        <v>7</v>
      </c>
      <c r="D231" s="12">
        <v>9.26</v>
      </c>
      <c r="E231" s="10" t="s">
        <v>411</v>
      </c>
      <c r="F231" s="10" t="s">
        <v>63</v>
      </c>
      <c r="G231" s="10" t="s">
        <v>412</v>
      </c>
      <c r="H231" s="10" t="s">
        <v>413</v>
      </c>
    </row>
    <row r="232" spans="1:8">
      <c r="A232" s="13" t="s">
        <v>165</v>
      </c>
      <c r="B232" s="14">
        <v>2019</v>
      </c>
      <c r="C232" s="13" t="s">
        <v>7</v>
      </c>
      <c r="D232" s="15">
        <v>2.2000000000000002</v>
      </c>
      <c r="E232" s="13" t="s">
        <v>411</v>
      </c>
      <c r="F232" s="13" t="s">
        <v>63</v>
      </c>
      <c r="G232" s="13" t="s">
        <v>412</v>
      </c>
      <c r="H232" s="13" t="s">
        <v>413</v>
      </c>
    </row>
    <row r="233" spans="1:8">
      <c r="A233" s="10" t="s">
        <v>122</v>
      </c>
      <c r="B233" s="11">
        <v>2020</v>
      </c>
      <c r="C233" s="10" t="s">
        <v>7</v>
      </c>
      <c r="D233" s="12">
        <v>6.33</v>
      </c>
      <c r="E233" s="10" t="s">
        <v>411</v>
      </c>
      <c r="F233" s="10" t="s">
        <v>63</v>
      </c>
      <c r="G233" s="10" t="s">
        <v>412</v>
      </c>
      <c r="H233" s="10" t="s">
        <v>413</v>
      </c>
    </row>
    <row r="234" spans="1:8">
      <c r="A234" s="13" t="s">
        <v>123</v>
      </c>
      <c r="B234" s="14">
        <v>2020</v>
      </c>
      <c r="C234" s="13" t="s">
        <v>7</v>
      </c>
      <c r="D234" s="15">
        <v>35.94</v>
      </c>
      <c r="E234" s="13" t="s">
        <v>411</v>
      </c>
      <c r="F234" s="13" t="s">
        <v>63</v>
      </c>
      <c r="G234" s="13" t="s">
        <v>412</v>
      </c>
      <c r="H234" s="13" t="s">
        <v>413</v>
      </c>
    </row>
    <row r="235" spans="1:8">
      <c r="A235" s="10" t="s">
        <v>164</v>
      </c>
      <c r="B235" s="11">
        <v>2020</v>
      </c>
      <c r="C235" s="10" t="s">
        <v>7</v>
      </c>
      <c r="D235" s="12">
        <v>2.19</v>
      </c>
      <c r="E235" s="10" t="s">
        <v>411</v>
      </c>
      <c r="F235" s="10" t="s">
        <v>63</v>
      </c>
      <c r="G235" s="10" t="s">
        <v>412</v>
      </c>
      <c r="H235" s="10" t="s">
        <v>413</v>
      </c>
    </row>
    <row r="236" spans="1:8">
      <c r="A236" s="13" t="s">
        <v>140</v>
      </c>
      <c r="B236" s="14">
        <v>2020</v>
      </c>
      <c r="C236" s="13" t="s">
        <v>7</v>
      </c>
      <c r="D236" s="15">
        <v>7.83</v>
      </c>
      <c r="E236" s="13" t="s">
        <v>411</v>
      </c>
      <c r="F236" s="13" t="s">
        <v>63</v>
      </c>
      <c r="G236" s="13" t="s">
        <v>412</v>
      </c>
      <c r="H236" s="13" t="s">
        <v>413</v>
      </c>
    </row>
    <row r="237" spans="1:8">
      <c r="A237" s="10" t="s">
        <v>165</v>
      </c>
      <c r="B237" s="11">
        <v>2020</v>
      </c>
      <c r="C237" s="10" t="s">
        <v>7</v>
      </c>
      <c r="D237" s="12">
        <v>2.19</v>
      </c>
      <c r="E237" s="10" t="s">
        <v>411</v>
      </c>
      <c r="F237" s="10" t="s">
        <v>63</v>
      </c>
      <c r="G237" s="10" t="s">
        <v>412</v>
      </c>
      <c r="H237" s="10" t="s">
        <v>413</v>
      </c>
    </row>
    <row r="238" spans="1:8">
      <c r="A238" s="13" t="s">
        <v>122</v>
      </c>
      <c r="B238" s="14">
        <v>2021</v>
      </c>
      <c r="C238" s="13" t="s">
        <v>7</v>
      </c>
      <c r="D238" s="15">
        <v>6.33</v>
      </c>
      <c r="E238" s="13" t="s">
        <v>411</v>
      </c>
      <c r="F238" s="13" t="s">
        <v>63</v>
      </c>
      <c r="G238" s="13" t="s">
        <v>412</v>
      </c>
      <c r="H238" s="13" t="s">
        <v>413</v>
      </c>
    </row>
    <row r="239" spans="1:8">
      <c r="A239" s="10" t="s">
        <v>123</v>
      </c>
      <c r="B239" s="11">
        <v>2021</v>
      </c>
      <c r="C239" s="10" t="s">
        <v>7</v>
      </c>
      <c r="D239" s="12">
        <v>36.25</v>
      </c>
      <c r="E239" s="10" t="s">
        <v>411</v>
      </c>
      <c r="F239" s="10" t="s">
        <v>63</v>
      </c>
      <c r="G239" s="10" t="s">
        <v>412</v>
      </c>
      <c r="H239" s="10" t="s">
        <v>413</v>
      </c>
    </row>
    <row r="240" spans="1:8">
      <c r="A240" s="13" t="s">
        <v>164</v>
      </c>
      <c r="B240" s="14">
        <v>2021</v>
      </c>
      <c r="C240" s="13" t="s">
        <v>7</v>
      </c>
      <c r="D240" s="15">
        <v>2.19</v>
      </c>
      <c r="E240" s="13" t="s">
        <v>411</v>
      </c>
      <c r="F240" s="13" t="s">
        <v>63</v>
      </c>
      <c r="G240" s="13" t="s">
        <v>412</v>
      </c>
      <c r="H240" s="13" t="s">
        <v>413</v>
      </c>
    </row>
    <row r="241" spans="1:8">
      <c r="A241" s="10" t="s">
        <v>140</v>
      </c>
      <c r="B241" s="11">
        <v>2021</v>
      </c>
      <c r="C241" s="10" t="s">
        <v>7</v>
      </c>
      <c r="D241" s="12">
        <v>7.83</v>
      </c>
      <c r="E241" s="10" t="s">
        <v>411</v>
      </c>
      <c r="F241" s="10" t="s">
        <v>63</v>
      </c>
      <c r="G241" s="10" t="s">
        <v>412</v>
      </c>
      <c r="H241" s="10" t="s">
        <v>413</v>
      </c>
    </row>
    <row r="242" spans="1:8">
      <c r="A242" s="13" t="s">
        <v>165</v>
      </c>
      <c r="B242" s="14">
        <v>2021</v>
      </c>
      <c r="C242" s="13" t="s">
        <v>7</v>
      </c>
      <c r="D242" s="15">
        <v>2.21</v>
      </c>
      <c r="E242" s="13" t="s">
        <v>411</v>
      </c>
      <c r="F242" s="13" t="s">
        <v>63</v>
      </c>
      <c r="G242" s="13" t="s">
        <v>412</v>
      </c>
      <c r="H242" s="13" t="s">
        <v>413</v>
      </c>
    </row>
    <row r="243" spans="1:8">
      <c r="A243" s="10" t="s">
        <v>122</v>
      </c>
      <c r="B243" s="11">
        <v>2022</v>
      </c>
      <c r="C243" s="10" t="s">
        <v>7</v>
      </c>
      <c r="D243" s="12">
        <v>5.23</v>
      </c>
      <c r="E243" s="10" t="s">
        <v>411</v>
      </c>
      <c r="F243" s="10" t="s">
        <v>63</v>
      </c>
      <c r="G243" s="10" t="s">
        <v>412</v>
      </c>
      <c r="H243" s="10" t="s">
        <v>413</v>
      </c>
    </row>
    <row r="244" spans="1:8">
      <c r="A244" s="13" t="s">
        <v>123</v>
      </c>
      <c r="B244" s="14">
        <v>2022</v>
      </c>
      <c r="C244" s="13" t="s">
        <v>7</v>
      </c>
      <c r="D244" s="15">
        <v>36.340000000000003</v>
      </c>
      <c r="E244" s="13" t="s">
        <v>411</v>
      </c>
      <c r="F244" s="13" t="s">
        <v>63</v>
      </c>
      <c r="G244" s="13" t="s">
        <v>412</v>
      </c>
      <c r="H244" s="13" t="s">
        <v>413</v>
      </c>
    </row>
    <row r="245" spans="1:8">
      <c r="A245" s="10" t="s">
        <v>164</v>
      </c>
      <c r="B245" s="11">
        <v>2022</v>
      </c>
      <c r="C245" s="10" t="s">
        <v>7</v>
      </c>
      <c r="D245" s="12">
        <v>2.19</v>
      </c>
      <c r="E245" s="10" t="s">
        <v>411</v>
      </c>
      <c r="F245" s="10" t="s">
        <v>63</v>
      </c>
      <c r="G245" s="10" t="s">
        <v>412</v>
      </c>
      <c r="H245" s="10" t="s">
        <v>413</v>
      </c>
    </row>
    <row r="246" spans="1:8">
      <c r="A246" s="13" t="s">
        <v>140</v>
      </c>
      <c r="B246" s="14">
        <v>2022</v>
      </c>
      <c r="C246" s="13" t="s">
        <v>7</v>
      </c>
      <c r="D246" s="15">
        <v>5.88</v>
      </c>
      <c r="E246" s="13" t="s">
        <v>411</v>
      </c>
      <c r="F246" s="13" t="s">
        <v>63</v>
      </c>
      <c r="G246" s="13" t="s">
        <v>412</v>
      </c>
      <c r="H246" s="13" t="s">
        <v>413</v>
      </c>
    </row>
    <row r="247" spans="1:8">
      <c r="A247" s="10" t="s">
        <v>165</v>
      </c>
      <c r="B247" s="11">
        <v>2022</v>
      </c>
      <c r="C247" s="10" t="s">
        <v>7</v>
      </c>
      <c r="D247" s="12">
        <v>2.38</v>
      </c>
      <c r="E247" s="10" t="s">
        <v>411</v>
      </c>
      <c r="F247" s="10" t="s">
        <v>63</v>
      </c>
      <c r="G247" s="10" t="s">
        <v>412</v>
      </c>
      <c r="H247" s="10" t="s">
        <v>413</v>
      </c>
    </row>
    <row r="248" spans="1:8">
      <c r="A248" s="13" t="s">
        <v>122</v>
      </c>
      <c r="B248" s="14">
        <v>2023</v>
      </c>
      <c r="C248" s="13" t="s">
        <v>7</v>
      </c>
      <c r="D248" s="15">
        <v>2.17</v>
      </c>
      <c r="E248" s="13" t="s">
        <v>411</v>
      </c>
      <c r="F248" s="13" t="s">
        <v>63</v>
      </c>
      <c r="G248" s="13" t="s">
        <v>412</v>
      </c>
      <c r="H248" s="13" t="s">
        <v>413</v>
      </c>
    </row>
    <row r="249" spans="1:8">
      <c r="A249" s="10" t="s">
        <v>123</v>
      </c>
      <c r="B249" s="11">
        <v>2023</v>
      </c>
      <c r="C249" s="10" t="s">
        <v>7</v>
      </c>
      <c r="D249" s="12">
        <v>37.32</v>
      </c>
      <c r="E249" s="10" t="s">
        <v>411</v>
      </c>
      <c r="F249" s="10" t="s">
        <v>63</v>
      </c>
      <c r="G249" s="10" t="s">
        <v>412</v>
      </c>
      <c r="H249" s="10" t="s">
        <v>413</v>
      </c>
    </row>
    <row r="250" spans="1:8">
      <c r="A250" s="13" t="s">
        <v>164</v>
      </c>
      <c r="B250" s="14">
        <v>2023</v>
      </c>
      <c r="C250" s="13" t="s">
        <v>7</v>
      </c>
      <c r="D250" s="15">
        <v>2.19</v>
      </c>
      <c r="E250" s="13" t="s">
        <v>411</v>
      </c>
      <c r="F250" s="13" t="s">
        <v>63</v>
      </c>
      <c r="G250" s="13" t="s">
        <v>412</v>
      </c>
      <c r="H250" s="13" t="s">
        <v>413</v>
      </c>
    </row>
    <row r="251" spans="1:8">
      <c r="A251" s="10" t="s">
        <v>140</v>
      </c>
      <c r="B251" s="11">
        <v>2023</v>
      </c>
      <c r="C251" s="10" t="s">
        <v>7</v>
      </c>
      <c r="D251" s="12">
        <v>5.88</v>
      </c>
      <c r="E251" s="10" t="s">
        <v>411</v>
      </c>
      <c r="F251" s="10" t="s">
        <v>63</v>
      </c>
      <c r="G251" s="10" t="s">
        <v>412</v>
      </c>
      <c r="H251" s="10" t="s">
        <v>413</v>
      </c>
    </row>
    <row r="252" spans="1:8">
      <c r="A252" s="13" t="s">
        <v>165</v>
      </c>
      <c r="B252" s="14">
        <v>2023</v>
      </c>
      <c r="C252" s="13" t="s">
        <v>7</v>
      </c>
      <c r="D252" s="15">
        <v>2.33</v>
      </c>
      <c r="E252" s="13" t="s">
        <v>411</v>
      </c>
      <c r="F252" s="13" t="s">
        <v>63</v>
      </c>
      <c r="G252" s="13" t="s">
        <v>412</v>
      </c>
      <c r="H252" s="13" t="s">
        <v>413</v>
      </c>
    </row>
    <row r="253" spans="1:8">
      <c r="A253" s="10" t="s">
        <v>122</v>
      </c>
      <c r="B253" s="11">
        <v>2024</v>
      </c>
      <c r="C253" s="10" t="s">
        <v>7</v>
      </c>
      <c r="D253" s="12">
        <v>0</v>
      </c>
      <c r="E253" s="10" t="s">
        <v>411</v>
      </c>
      <c r="F253" s="10" t="s">
        <v>63</v>
      </c>
      <c r="G253" s="10" t="s">
        <v>412</v>
      </c>
      <c r="H253" s="10" t="s">
        <v>413</v>
      </c>
    </row>
    <row r="254" spans="1:8">
      <c r="A254" s="13" t="s">
        <v>123</v>
      </c>
      <c r="B254" s="14">
        <v>2024</v>
      </c>
      <c r="C254" s="13" t="s">
        <v>7</v>
      </c>
      <c r="D254" s="15">
        <v>38.119999999999997</v>
      </c>
      <c r="E254" s="13" t="s">
        <v>411</v>
      </c>
      <c r="F254" s="13" t="s">
        <v>63</v>
      </c>
      <c r="G254" s="13" t="s">
        <v>412</v>
      </c>
      <c r="H254" s="13" t="s">
        <v>413</v>
      </c>
    </row>
    <row r="255" spans="1:8">
      <c r="A255" s="10" t="s">
        <v>164</v>
      </c>
      <c r="B255" s="11">
        <v>2024</v>
      </c>
      <c r="C255" s="10" t="s">
        <v>7</v>
      </c>
      <c r="D255" s="12">
        <v>2.19</v>
      </c>
      <c r="E255" s="10" t="s">
        <v>411</v>
      </c>
      <c r="F255" s="10" t="s">
        <v>63</v>
      </c>
      <c r="G255" s="10" t="s">
        <v>412</v>
      </c>
      <c r="H255" s="10" t="s">
        <v>413</v>
      </c>
    </row>
    <row r="256" spans="1:8">
      <c r="A256" s="13" t="s">
        <v>140</v>
      </c>
      <c r="B256" s="14">
        <v>2024</v>
      </c>
      <c r="C256" s="13" t="s">
        <v>7</v>
      </c>
      <c r="D256" s="15">
        <v>5.88</v>
      </c>
      <c r="E256" s="13" t="s">
        <v>411</v>
      </c>
      <c r="F256" s="13" t="s">
        <v>63</v>
      </c>
      <c r="G256" s="13" t="s">
        <v>412</v>
      </c>
      <c r="H256" s="13" t="s">
        <v>413</v>
      </c>
    </row>
    <row r="257" spans="1:8">
      <c r="A257" s="10" t="s">
        <v>165</v>
      </c>
      <c r="B257" s="11">
        <v>2024</v>
      </c>
      <c r="C257" s="10" t="s">
        <v>7</v>
      </c>
      <c r="D257" s="12">
        <v>2.21</v>
      </c>
      <c r="E257" s="10" t="s">
        <v>411</v>
      </c>
      <c r="F257" s="10" t="s">
        <v>63</v>
      </c>
      <c r="G257" s="10" t="s">
        <v>412</v>
      </c>
      <c r="H257" s="10" t="s">
        <v>413</v>
      </c>
    </row>
    <row r="258" spans="1:8">
      <c r="A258" s="13" t="s">
        <v>122</v>
      </c>
      <c r="B258" s="14">
        <v>2025</v>
      </c>
      <c r="C258" s="13" t="s">
        <v>7</v>
      </c>
      <c r="D258" s="15">
        <v>0</v>
      </c>
      <c r="E258" s="13" t="s">
        <v>411</v>
      </c>
      <c r="F258" s="13" t="s">
        <v>63</v>
      </c>
      <c r="G258" s="13" t="s">
        <v>412</v>
      </c>
      <c r="H258" s="13" t="s">
        <v>413</v>
      </c>
    </row>
    <row r="259" spans="1:8">
      <c r="A259" s="10" t="s">
        <v>123</v>
      </c>
      <c r="B259" s="11">
        <v>2025</v>
      </c>
      <c r="C259" s="10" t="s">
        <v>7</v>
      </c>
      <c r="D259" s="12">
        <v>38.39</v>
      </c>
      <c r="E259" s="10" t="s">
        <v>411</v>
      </c>
      <c r="F259" s="10" t="s">
        <v>63</v>
      </c>
      <c r="G259" s="10" t="s">
        <v>412</v>
      </c>
      <c r="H259" s="10" t="s">
        <v>413</v>
      </c>
    </row>
    <row r="260" spans="1:8">
      <c r="A260" s="13" t="s">
        <v>164</v>
      </c>
      <c r="B260" s="14">
        <v>2025</v>
      </c>
      <c r="C260" s="13" t="s">
        <v>7</v>
      </c>
      <c r="D260" s="15">
        <v>2.19</v>
      </c>
      <c r="E260" s="13" t="s">
        <v>411</v>
      </c>
      <c r="F260" s="13" t="s">
        <v>63</v>
      </c>
      <c r="G260" s="13" t="s">
        <v>412</v>
      </c>
      <c r="H260" s="13" t="s">
        <v>413</v>
      </c>
    </row>
    <row r="261" spans="1:8">
      <c r="A261" s="10" t="s">
        <v>140</v>
      </c>
      <c r="B261" s="11">
        <v>2025</v>
      </c>
      <c r="C261" s="10" t="s">
        <v>7</v>
      </c>
      <c r="D261" s="12">
        <v>5.88</v>
      </c>
      <c r="E261" s="10" t="s">
        <v>411</v>
      </c>
      <c r="F261" s="10" t="s">
        <v>63</v>
      </c>
      <c r="G261" s="10" t="s">
        <v>412</v>
      </c>
      <c r="H261" s="10" t="s">
        <v>413</v>
      </c>
    </row>
    <row r="262" spans="1:8">
      <c r="A262" s="13" t="s">
        <v>165</v>
      </c>
      <c r="B262" s="14">
        <v>2025</v>
      </c>
      <c r="C262" s="13" t="s">
        <v>7</v>
      </c>
      <c r="D262" s="15">
        <v>2.21</v>
      </c>
      <c r="E262" s="13" t="s">
        <v>411</v>
      </c>
      <c r="F262" s="13" t="s">
        <v>63</v>
      </c>
      <c r="G262" s="13" t="s">
        <v>412</v>
      </c>
      <c r="H262" s="13" t="s">
        <v>413</v>
      </c>
    </row>
    <row r="263" spans="1:8">
      <c r="A263" s="10" t="s">
        <v>138</v>
      </c>
      <c r="B263" s="11">
        <v>2000</v>
      </c>
      <c r="C263" s="10" t="s">
        <v>222</v>
      </c>
      <c r="D263" s="12">
        <v>0.84</v>
      </c>
      <c r="E263" s="10" t="s">
        <v>411</v>
      </c>
      <c r="F263" s="10" t="s">
        <v>116</v>
      </c>
      <c r="G263" s="10" t="s">
        <v>412</v>
      </c>
      <c r="H263" s="10" t="s">
        <v>413</v>
      </c>
    </row>
    <row r="264" spans="1:8">
      <c r="A264" s="13" t="s">
        <v>122</v>
      </c>
      <c r="B264" s="14">
        <v>2000</v>
      </c>
      <c r="C264" s="13" t="s">
        <v>222</v>
      </c>
      <c r="D264" s="15">
        <v>115.18</v>
      </c>
      <c r="E264" s="13" t="s">
        <v>411</v>
      </c>
      <c r="F264" s="13" t="s">
        <v>116</v>
      </c>
      <c r="G264" s="13" t="s">
        <v>412</v>
      </c>
      <c r="H264" s="13" t="s">
        <v>413</v>
      </c>
    </row>
    <row r="265" spans="1:8">
      <c r="A265" s="10" t="s">
        <v>123</v>
      </c>
      <c r="B265" s="11">
        <v>2000</v>
      </c>
      <c r="C265" s="10" t="s">
        <v>222</v>
      </c>
      <c r="D265" s="12">
        <v>71.010000000000005</v>
      </c>
      <c r="E265" s="10" t="s">
        <v>411</v>
      </c>
      <c r="F265" s="10" t="s">
        <v>116</v>
      </c>
      <c r="G265" s="10" t="s">
        <v>412</v>
      </c>
      <c r="H265" s="10" t="s">
        <v>413</v>
      </c>
    </row>
    <row r="266" spans="1:8">
      <c r="A266" s="13" t="s">
        <v>164</v>
      </c>
      <c r="B266" s="14">
        <v>2000</v>
      </c>
      <c r="C266" s="13" t="s">
        <v>222</v>
      </c>
      <c r="D266" s="15">
        <v>0.12</v>
      </c>
      <c r="E266" s="13" t="s">
        <v>411</v>
      </c>
      <c r="F266" s="13" t="s">
        <v>116</v>
      </c>
      <c r="G266" s="13" t="s">
        <v>412</v>
      </c>
      <c r="H266" s="13" t="s">
        <v>413</v>
      </c>
    </row>
    <row r="267" spans="1:8">
      <c r="A267" s="10" t="s">
        <v>140</v>
      </c>
      <c r="B267" s="11">
        <v>2000</v>
      </c>
      <c r="C267" s="10" t="s">
        <v>222</v>
      </c>
      <c r="D267" s="12">
        <v>0.41</v>
      </c>
      <c r="E267" s="10" t="s">
        <v>411</v>
      </c>
      <c r="F267" s="10" t="s">
        <v>116</v>
      </c>
      <c r="G267" s="10" t="s">
        <v>412</v>
      </c>
      <c r="H267" s="10" t="s">
        <v>413</v>
      </c>
    </row>
    <row r="268" spans="1:8">
      <c r="A268" s="13" t="s">
        <v>165</v>
      </c>
      <c r="B268" s="14">
        <v>2000</v>
      </c>
      <c r="C268" s="13" t="s">
        <v>222</v>
      </c>
      <c r="D268" s="15">
        <v>9.25</v>
      </c>
      <c r="E268" s="13" t="s">
        <v>411</v>
      </c>
      <c r="F268" s="13" t="s">
        <v>116</v>
      </c>
      <c r="G268" s="13" t="s">
        <v>412</v>
      </c>
      <c r="H268" s="13" t="s">
        <v>413</v>
      </c>
    </row>
    <row r="269" spans="1:8">
      <c r="A269" s="10" t="s">
        <v>138</v>
      </c>
      <c r="B269" s="11">
        <v>2000</v>
      </c>
      <c r="C269" s="10" t="s">
        <v>222</v>
      </c>
      <c r="D269" s="12">
        <v>0</v>
      </c>
      <c r="E269" s="10" t="s">
        <v>411</v>
      </c>
      <c r="F269" s="10" t="s">
        <v>116</v>
      </c>
      <c r="G269" s="10" t="s">
        <v>412</v>
      </c>
      <c r="H269" s="10" t="s">
        <v>413</v>
      </c>
    </row>
    <row r="270" spans="1:8">
      <c r="A270" s="13" t="s">
        <v>166</v>
      </c>
      <c r="B270" s="14">
        <v>2000</v>
      </c>
      <c r="C270" s="13" t="s">
        <v>222</v>
      </c>
      <c r="D270" s="15">
        <v>0</v>
      </c>
      <c r="E270" s="13" t="s">
        <v>411</v>
      </c>
      <c r="F270" s="13" t="s">
        <v>116</v>
      </c>
      <c r="G270" s="13" t="s">
        <v>414</v>
      </c>
      <c r="H270" s="13" t="s">
        <v>413</v>
      </c>
    </row>
    <row r="271" spans="1:8">
      <c r="A271" s="10" t="s">
        <v>167</v>
      </c>
      <c r="B271" s="11">
        <v>2000</v>
      </c>
      <c r="C271" s="10" t="s">
        <v>222</v>
      </c>
      <c r="D271" s="12">
        <v>0.01</v>
      </c>
      <c r="E271" s="10" t="s">
        <v>411</v>
      </c>
      <c r="F271" s="10" t="s">
        <v>116</v>
      </c>
      <c r="G271" s="10" t="s">
        <v>414</v>
      </c>
      <c r="H271" s="10" t="s">
        <v>413</v>
      </c>
    </row>
    <row r="272" spans="1:8">
      <c r="A272" s="13" t="s">
        <v>138</v>
      </c>
      <c r="B272" s="14">
        <v>2001</v>
      </c>
      <c r="C272" s="13" t="s">
        <v>222</v>
      </c>
      <c r="D272" s="15">
        <v>0.98</v>
      </c>
      <c r="E272" s="13" t="s">
        <v>411</v>
      </c>
      <c r="F272" s="13" t="s">
        <v>116</v>
      </c>
      <c r="G272" s="13" t="s">
        <v>412</v>
      </c>
      <c r="H272" s="13" t="s">
        <v>413</v>
      </c>
    </row>
    <row r="273" spans="1:8">
      <c r="A273" s="10" t="s">
        <v>122</v>
      </c>
      <c r="B273" s="11">
        <v>2001</v>
      </c>
      <c r="C273" s="10" t="s">
        <v>222</v>
      </c>
      <c r="D273" s="12">
        <v>126.23</v>
      </c>
      <c r="E273" s="10" t="s">
        <v>411</v>
      </c>
      <c r="F273" s="10" t="s">
        <v>116</v>
      </c>
      <c r="G273" s="10" t="s">
        <v>412</v>
      </c>
      <c r="H273" s="10" t="s">
        <v>413</v>
      </c>
    </row>
    <row r="274" spans="1:8">
      <c r="A274" s="13" t="s">
        <v>123</v>
      </c>
      <c r="B274" s="14">
        <v>2001</v>
      </c>
      <c r="C274" s="13" t="s">
        <v>222</v>
      </c>
      <c r="D274" s="15">
        <v>68.05</v>
      </c>
      <c r="E274" s="13" t="s">
        <v>411</v>
      </c>
      <c r="F274" s="13" t="s">
        <v>116</v>
      </c>
      <c r="G274" s="13" t="s">
        <v>412</v>
      </c>
      <c r="H274" s="13" t="s">
        <v>413</v>
      </c>
    </row>
    <row r="275" spans="1:8">
      <c r="A275" s="10" t="s">
        <v>164</v>
      </c>
      <c r="B275" s="11">
        <v>2001</v>
      </c>
      <c r="C275" s="10" t="s">
        <v>222</v>
      </c>
      <c r="D275" s="12">
        <v>0.1</v>
      </c>
      <c r="E275" s="10" t="s">
        <v>411</v>
      </c>
      <c r="F275" s="10" t="s">
        <v>116</v>
      </c>
      <c r="G275" s="10" t="s">
        <v>412</v>
      </c>
      <c r="H275" s="10" t="s">
        <v>413</v>
      </c>
    </row>
    <row r="276" spans="1:8">
      <c r="A276" s="13" t="s">
        <v>140</v>
      </c>
      <c r="B276" s="14">
        <v>2001</v>
      </c>
      <c r="C276" s="13" t="s">
        <v>222</v>
      </c>
      <c r="D276" s="15">
        <v>0.43</v>
      </c>
      <c r="E276" s="13" t="s">
        <v>411</v>
      </c>
      <c r="F276" s="13" t="s">
        <v>116</v>
      </c>
      <c r="G276" s="13" t="s">
        <v>412</v>
      </c>
      <c r="H276" s="13" t="s">
        <v>413</v>
      </c>
    </row>
    <row r="277" spans="1:8">
      <c r="A277" s="10" t="s">
        <v>165</v>
      </c>
      <c r="B277" s="11">
        <v>2001</v>
      </c>
      <c r="C277" s="10" t="s">
        <v>222</v>
      </c>
      <c r="D277" s="12">
        <v>7.74</v>
      </c>
      <c r="E277" s="10" t="s">
        <v>411</v>
      </c>
      <c r="F277" s="10" t="s">
        <v>116</v>
      </c>
      <c r="G277" s="10" t="s">
        <v>412</v>
      </c>
      <c r="H277" s="10" t="s">
        <v>413</v>
      </c>
    </row>
    <row r="278" spans="1:8">
      <c r="A278" s="13" t="s">
        <v>138</v>
      </c>
      <c r="B278" s="14">
        <v>2001</v>
      </c>
      <c r="C278" s="13" t="s">
        <v>222</v>
      </c>
      <c r="D278" s="15">
        <v>0</v>
      </c>
      <c r="E278" s="13" t="s">
        <v>411</v>
      </c>
      <c r="F278" s="13" t="s">
        <v>116</v>
      </c>
      <c r="G278" s="13" t="s">
        <v>412</v>
      </c>
      <c r="H278" s="13" t="s">
        <v>413</v>
      </c>
    </row>
    <row r="279" spans="1:8">
      <c r="A279" s="10" t="s">
        <v>166</v>
      </c>
      <c r="B279" s="11">
        <v>2001</v>
      </c>
      <c r="C279" s="10" t="s">
        <v>222</v>
      </c>
      <c r="D279" s="12">
        <v>0</v>
      </c>
      <c r="E279" s="10" t="s">
        <v>411</v>
      </c>
      <c r="F279" s="10" t="s">
        <v>116</v>
      </c>
      <c r="G279" s="10" t="s">
        <v>414</v>
      </c>
      <c r="H279" s="10" t="s">
        <v>413</v>
      </c>
    </row>
    <row r="280" spans="1:8">
      <c r="A280" s="13" t="s">
        <v>167</v>
      </c>
      <c r="B280" s="14">
        <v>2001</v>
      </c>
      <c r="C280" s="13" t="s">
        <v>222</v>
      </c>
      <c r="D280" s="15">
        <v>0.01</v>
      </c>
      <c r="E280" s="13" t="s">
        <v>411</v>
      </c>
      <c r="F280" s="13" t="s">
        <v>116</v>
      </c>
      <c r="G280" s="13" t="s">
        <v>414</v>
      </c>
      <c r="H280" s="13" t="s">
        <v>413</v>
      </c>
    </row>
    <row r="281" spans="1:8">
      <c r="A281" s="10" t="s">
        <v>138</v>
      </c>
      <c r="B281" s="11">
        <v>2002</v>
      </c>
      <c r="C281" s="10" t="s">
        <v>222</v>
      </c>
      <c r="D281" s="12">
        <v>1.1000000000000001</v>
      </c>
      <c r="E281" s="10" t="s">
        <v>411</v>
      </c>
      <c r="F281" s="10" t="s">
        <v>116</v>
      </c>
      <c r="G281" s="10" t="s">
        <v>412</v>
      </c>
      <c r="H281" s="10" t="s">
        <v>413</v>
      </c>
    </row>
    <row r="282" spans="1:8">
      <c r="A282" s="13" t="s">
        <v>122</v>
      </c>
      <c r="B282" s="14">
        <v>2002</v>
      </c>
      <c r="C282" s="13" t="s">
        <v>222</v>
      </c>
      <c r="D282" s="15">
        <v>119.33</v>
      </c>
      <c r="E282" s="13" t="s">
        <v>411</v>
      </c>
      <c r="F282" s="13" t="s">
        <v>116</v>
      </c>
      <c r="G282" s="13" t="s">
        <v>412</v>
      </c>
      <c r="H282" s="13" t="s">
        <v>413</v>
      </c>
    </row>
    <row r="283" spans="1:8">
      <c r="A283" s="10" t="s">
        <v>123</v>
      </c>
      <c r="B283" s="11">
        <v>2002</v>
      </c>
      <c r="C283" s="10" t="s">
        <v>222</v>
      </c>
      <c r="D283" s="12">
        <v>73.02</v>
      </c>
      <c r="E283" s="10" t="s">
        <v>411</v>
      </c>
      <c r="F283" s="10" t="s">
        <v>116</v>
      </c>
      <c r="G283" s="10" t="s">
        <v>412</v>
      </c>
      <c r="H283" s="10" t="s">
        <v>413</v>
      </c>
    </row>
    <row r="284" spans="1:8">
      <c r="A284" s="13" t="s">
        <v>164</v>
      </c>
      <c r="B284" s="14">
        <v>2002</v>
      </c>
      <c r="C284" s="13" t="s">
        <v>222</v>
      </c>
      <c r="D284" s="15">
        <v>0.11</v>
      </c>
      <c r="E284" s="13" t="s">
        <v>411</v>
      </c>
      <c r="F284" s="13" t="s">
        <v>116</v>
      </c>
      <c r="G284" s="13" t="s">
        <v>412</v>
      </c>
      <c r="H284" s="13" t="s">
        <v>413</v>
      </c>
    </row>
    <row r="285" spans="1:8">
      <c r="A285" s="10" t="s">
        <v>140</v>
      </c>
      <c r="B285" s="11">
        <v>2002</v>
      </c>
      <c r="C285" s="10" t="s">
        <v>222</v>
      </c>
      <c r="D285" s="12">
        <v>0.42</v>
      </c>
      <c r="E285" s="10" t="s">
        <v>411</v>
      </c>
      <c r="F285" s="10" t="s">
        <v>116</v>
      </c>
      <c r="G285" s="10" t="s">
        <v>412</v>
      </c>
      <c r="H285" s="10" t="s">
        <v>413</v>
      </c>
    </row>
    <row r="286" spans="1:8">
      <c r="A286" s="13" t="s">
        <v>165</v>
      </c>
      <c r="B286" s="14">
        <v>2002</v>
      </c>
      <c r="C286" s="13" t="s">
        <v>222</v>
      </c>
      <c r="D286" s="15">
        <v>7.71</v>
      </c>
      <c r="E286" s="13" t="s">
        <v>411</v>
      </c>
      <c r="F286" s="13" t="s">
        <v>116</v>
      </c>
      <c r="G286" s="13" t="s">
        <v>412</v>
      </c>
      <c r="H286" s="13" t="s">
        <v>413</v>
      </c>
    </row>
    <row r="287" spans="1:8">
      <c r="A287" s="10" t="s">
        <v>138</v>
      </c>
      <c r="B287" s="11">
        <v>2002</v>
      </c>
      <c r="C287" s="10" t="s">
        <v>222</v>
      </c>
      <c r="D287" s="12">
        <v>0</v>
      </c>
      <c r="E287" s="10" t="s">
        <v>411</v>
      </c>
      <c r="F287" s="10" t="s">
        <v>116</v>
      </c>
      <c r="G287" s="10" t="s">
        <v>412</v>
      </c>
      <c r="H287" s="10" t="s">
        <v>413</v>
      </c>
    </row>
    <row r="288" spans="1:8">
      <c r="A288" s="13" t="s">
        <v>166</v>
      </c>
      <c r="B288" s="14">
        <v>2002</v>
      </c>
      <c r="C288" s="13" t="s">
        <v>222</v>
      </c>
      <c r="D288" s="15">
        <v>0</v>
      </c>
      <c r="E288" s="13" t="s">
        <v>411</v>
      </c>
      <c r="F288" s="13" t="s">
        <v>116</v>
      </c>
      <c r="G288" s="13" t="s">
        <v>414</v>
      </c>
      <c r="H288" s="13" t="s">
        <v>413</v>
      </c>
    </row>
    <row r="289" spans="1:8">
      <c r="A289" s="10" t="s">
        <v>167</v>
      </c>
      <c r="B289" s="11">
        <v>2002</v>
      </c>
      <c r="C289" s="10" t="s">
        <v>222</v>
      </c>
      <c r="D289" s="12">
        <v>0.02</v>
      </c>
      <c r="E289" s="10" t="s">
        <v>411</v>
      </c>
      <c r="F289" s="10" t="s">
        <v>116</v>
      </c>
      <c r="G289" s="10" t="s">
        <v>414</v>
      </c>
      <c r="H289" s="10" t="s">
        <v>413</v>
      </c>
    </row>
    <row r="290" spans="1:8">
      <c r="A290" s="13" t="s">
        <v>138</v>
      </c>
      <c r="B290" s="14">
        <v>2003</v>
      </c>
      <c r="C290" s="13" t="s">
        <v>222</v>
      </c>
      <c r="D290" s="15">
        <v>1.33</v>
      </c>
      <c r="E290" s="13" t="s">
        <v>411</v>
      </c>
      <c r="F290" s="13" t="s">
        <v>116</v>
      </c>
      <c r="G290" s="13" t="s">
        <v>412</v>
      </c>
      <c r="H290" s="13" t="s">
        <v>413</v>
      </c>
    </row>
    <row r="291" spans="1:8">
      <c r="A291" s="10" t="s">
        <v>122</v>
      </c>
      <c r="B291" s="11">
        <v>2003</v>
      </c>
      <c r="C291" s="10" t="s">
        <v>222</v>
      </c>
      <c r="D291" s="12">
        <v>132.94</v>
      </c>
      <c r="E291" s="10" t="s">
        <v>411</v>
      </c>
      <c r="F291" s="10" t="s">
        <v>116</v>
      </c>
      <c r="G291" s="10" t="s">
        <v>412</v>
      </c>
      <c r="H291" s="10" t="s">
        <v>413</v>
      </c>
    </row>
    <row r="292" spans="1:8">
      <c r="A292" s="13" t="s">
        <v>123</v>
      </c>
      <c r="B292" s="14">
        <v>2003</v>
      </c>
      <c r="C292" s="13" t="s">
        <v>222</v>
      </c>
      <c r="D292" s="15">
        <v>71.39</v>
      </c>
      <c r="E292" s="13" t="s">
        <v>411</v>
      </c>
      <c r="F292" s="13" t="s">
        <v>116</v>
      </c>
      <c r="G292" s="13" t="s">
        <v>412</v>
      </c>
      <c r="H292" s="13" t="s">
        <v>413</v>
      </c>
    </row>
    <row r="293" spans="1:8">
      <c r="A293" s="10" t="s">
        <v>164</v>
      </c>
      <c r="B293" s="11">
        <v>2003</v>
      </c>
      <c r="C293" s="10" t="s">
        <v>222</v>
      </c>
      <c r="D293" s="12">
        <v>0.08</v>
      </c>
      <c r="E293" s="10" t="s">
        <v>411</v>
      </c>
      <c r="F293" s="10" t="s">
        <v>116</v>
      </c>
      <c r="G293" s="10" t="s">
        <v>412</v>
      </c>
      <c r="H293" s="10" t="s">
        <v>413</v>
      </c>
    </row>
    <row r="294" spans="1:8">
      <c r="A294" s="13" t="s">
        <v>140</v>
      </c>
      <c r="B294" s="14">
        <v>2003</v>
      </c>
      <c r="C294" s="13" t="s">
        <v>222</v>
      </c>
      <c r="D294" s="15">
        <v>0.43</v>
      </c>
      <c r="E294" s="13" t="s">
        <v>411</v>
      </c>
      <c r="F294" s="13" t="s">
        <v>116</v>
      </c>
      <c r="G294" s="13" t="s">
        <v>412</v>
      </c>
      <c r="H294" s="13" t="s">
        <v>413</v>
      </c>
    </row>
    <row r="295" spans="1:8">
      <c r="A295" s="10" t="s">
        <v>165</v>
      </c>
      <c r="B295" s="11">
        <v>2003</v>
      </c>
      <c r="C295" s="10" t="s">
        <v>222</v>
      </c>
      <c r="D295" s="12">
        <v>7.56</v>
      </c>
      <c r="E295" s="10" t="s">
        <v>411</v>
      </c>
      <c r="F295" s="10" t="s">
        <v>116</v>
      </c>
      <c r="G295" s="10" t="s">
        <v>412</v>
      </c>
      <c r="H295" s="10" t="s">
        <v>413</v>
      </c>
    </row>
    <row r="296" spans="1:8">
      <c r="A296" s="13" t="s">
        <v>138</v>
      </c>
      <c r="B296" s="14">
        <v>2003</v>
      </c>
      <c r="C296" s="13" t="s">
        <v>222</v>
      </c>
      <c r="D296" s="15">
        <v>0</v>
      </c>
      <c r="E296" s="13" t="s">
        <v>411</v>
      </c>
      <c r="F296" s="13" t="s">
        <v>116</v>
      </c>
      <c r="G296" s="13" t="s">
        <v>412</v>
      </c>
      <c r="H296" s="13" t="s">
        <v>413</v>
      </c>
    </row>
    <row r="297" spans="1:8">
      <c r="A297" s="10" t="s">
        <v>166</v>
      </c>
      <c r="B297" s="11">
        <v>2003</v>
      </c>
      <c r="C297" s="10" t="s">
        <v>222</v>
      </c>
      <c r="D297" s="12">
        <v>0</v>
      </c>
      <c r="E297" s="10" t="s">
        <v>411</v>
      </c>
      <c r="F297" s="10" t="s">
        <v>116</v>
      </c>
      <c r="G297" s="10" t="s">
        <v>414</v>
      </c>
      <c r="H297" s="10" t="s">
        <v>413</v>
      </c>
    </row>
    <row r="298" spans="1:8">
      <c r="A298" s="13" t="s">
        <v>167</v>
      </c>
      <c r="B298" s="14">
        <v>2003</v>
      </c>
      <c r="C298" s="13" t="s">
        <v>222</v>
      </c>
      <c r="D298" s="15">
        <v>0.02</v>
      </c>
      <c r="E298" s="13" t="s">
        <v>411</v>
      </c>
      <c r="F298" s="13" t="s">
        <v>116</v>
      </c>
      <c r="G298" s="13" t="s">
        <v>414</v>
      </c>
      <c r="H298" s="13" t="s">
        <v>413</v>
      </c>
    </row>
    <row r="299" spans="1:8">
      <c r="A299" s="10" t="s">
        <v>138</v>
      </c>
      <c r="B299" s="11">
        <v>2004</v>
      </c>
      <c r="C299" s="10" t="s">
        <v>222</v>
      </c>
      <c r="D299" s="12">
        <v>1.59</v>
      </c>
      <c r="E299" s="10" t="s">
        <v>411</v>
      </c>
      <c r="F299" s="10" t="s">
        <v>116</v>
      </c>
      <c r="G299" s="10" t="s">
        <v>412</v>
      </c>
      <c r="H299" s="10" t="s">
        <v>413</v>
      </c>
    </row>
    <row r="300" spans="1:8">
      <c r="A300" s="13" t="s">
        <v>122</v>
      </c>
      <c r="B300" s="14">
        <v>2004</v>
      </c>
      <c r="C300" s="13" t="s">
        <v>222</v>
      </c>
      <c r="D300" s="15">
        <v>126.53</v>
      </c>
      <c r="E300" s="13" t="s">
        <v>411</v>
      </c>
      <c r="F300" s="13" t="s">
        <v>116</v>
      </c>
      <c r="G300" s="13" t="s">
        <v>412</v>
      </c>
      <c r="H300" s="13" t="s">
        <v>413</v>
      </c>
    </row>
    <row r="301" spans="1:8">
      <c r="A301" s="10" t="s">
        <v>123</v>
      </c>
      <c r="B301" s="11">
        <v>2004</v>
      </c>
      <c r="C301" s="10" t="s">
        <v>222</v>
      </c>
      <c r="D301" s="12">
        <v>75.319999999999993</v>
      </c>
      <c r="E301" s="10" t="s">
        <v>411</v>
      </c>
      <c r="F301" s="10" t="s">
        <v>116</v>
      </c>
      <c r="G301" s="10" t="s">
        <v>412</v>
      </c>
      <c r="H301" s="10" t="s">
        <v>413</v>
      </c>
    </row>
    <row r="302" spans="1:8">
      <c r="A302" s="13" t="s">
        <v>164</v>
      </c>
      <c r="B302" s="14">
        <v>2004</v>
      </c>
      <c r="C302" s="13" t="s">
        <v>222</v>
      </c>
      <c r="D302" s="15">
        <v>0.11</v>
      </c>
      <c r="E302" s="13" t="s">
        <v>411</v>
      </c>
      <c r="F302" s="13" t="s">
        <v>116</v>
      </c>
      <c r="G302" s="13" t="s">
        <v>412</v>
      </c>
      <c r="H302" s="13" t="s">
        <v>413</v>
      </c>
    </row>
    <row r="303" spans="1:8">
      <c r="A303" s="10" t="s">
        <v>140</v>
      </c>
      <c r="B303" s="11">
        <v>2004</v>
      </c>
      <c r="C303" s="10" t="s">
        <v>222</v>
      </c>
      <c r="D303" s="12">
        <v>0.39</v>
      </c>
      <c r="E303" s="10" t="s">
        <v>411</v>
      </c>
      <c r="F303" s="10" t="s">
        <v>116</v>
      </c>
      <c r="G303" s="10" t="s">
        <v>412</v>
      </c>
      <c r="H303" s="10" t="s">
        <v>413</v>
      </c>
    </row>
    <row r="304" spans="1:8">
      <c r="A304" s="13" t="s">
        <v>165</v>
      </c>
      <c r="B304" s="14">
        <v>2004</v>
      </c>
      <c r="C304" s="13" t="s">
        <v>222</v>
      </c>
      <c r="D304" s="15">
        <v>7.19</v>
      </c>
      <c r="E304" s="13" t="s">
        <v>411</v>
      </c>
      <c r="F304" s="13" t="s">
        <v>116</v>
      </c>
      <c r="G304" s="13" t="s">
        <v>412</v>
      </c>
      <c r="H304" s="13" t="s">
        <v>413</v>
      </c>
    </row>
    <row r="305" spans="1:8">
      <c r="A305" s="10" t="s">
        <v>138</v>
      </c>
      <c r="B305" s="11">
        <v>2004</v>
      </c>
      <c r="C305" s="10" t="s">
        <v>222</v>
      </c>
      <c r="D305" s="12">
        <v>0</v>
      </c>
      <c r="E305" s="10" t="s">
        <v>411</v>
      </c>
      <c r="F305" s="10" t="s">
        <v>116</v>
      </c>
      <c r="G305" s="10" t="s">
        <v>412</v>
      </c>
      <c r="H305" s="10" t="s">
        <v>413</v>
      </c>
    </row>
    <row r="306" spans="1:8">
      <c r="A306" s="13" t="s">
        <v>166</v>
      </c>
      <c r="B306" s="14">
        <v>2004</v>
      </c>
      <c r="C306" s="13" t="s">
        <v>222</v>
      </c>
      <c r="D306" s="15">
        <v>0</v>
      </c>
      <c r="E306" s="13" t="s">
        <v>411</v>
      </c>
      <c r="F306" s="13" t="s">
        <v>116</v>
      </c>
      <c r="G306" s="13" t="s">
        <v>414</v>
      </c>
      <c r="H306" s="13" t="s">
        <v>413</v>
      </c>
    </row>
    <row r="307" spans="1:8">
      <c r="A307" s="10" t="s">
        <v>167</v>
      </c>
      <c r="B307" s="11">
        <v>2004</v>
      </c>
      <c r="C307" s="10" t="s">
        <v>222</v>
      </c>
      <c r="D307" s="12">
        <v>0.02</v>
      </c>
      <c r="E307" s="10" t="s">
        <v>411</v>
      </c>
      <c r="F307" s="10" t="s">
        <v>116</v>
      </c>
      <c r="G307" s="10" t="s">
        <v>414</v>
      </c>
      <c r="H307" s="10" t="s">
        <v>413</v>
      </c>
    </row>
    <row r="308" spans="1:8">
      <c r="A308" s="13" t="s">
        <v>138</v>
      </c>
      <c r="B308" s="14">
        <v>2005</v>
      </c>
      <c r="C308" s="13" t="s">
        <v>222</v>
      </c>
      <c r="D308" s="15">
        <v>1.97</v>
      </c>
      <c r="E308" s="13" t="s">
        <v>411</v>
      </c>
      <c r="F308" s="13" t="s">
        <v>116</v>
      </c>
      <c r="G308" s="13" t="s">
        <v>412</v>
      </c>
      <c r="H308" s="13" t="s">
        <v>413</v>
      </c>
    </row>
    <row r="309" spans="1:8">
      <c r="A309" s="10" t="s">
        <v>122</v>
      </c>
      <c r="B309" s="11">
        <v>2005</v>
      </c>
      <c r="C309" s="10" t="s">
        <v>222</v>
      </c>
      <c r="D309" s="12">
        <v>129.26</v>
      </c>
      <c r="E309" s="10" t="s">
        <v>411</v>
      </c>
      <c r="F309" s="10" t="s">
        <v>116</v>
      </c>
      <c r="G309" s="10" t="s">
        <v>412</v>
      </c>
      <c r="H309" s="10" t="s">
        <v>413</v>
      </c>
    </row>
    <row r="310" spans="1:8">
      <c r="A310" s="13" t="s">
        <v>123</v>
      </c>
      <c r="B310" s="14">
        <v>2005</v>
      </c>
      <c r="C310" s="13" t="s">
        <v>222</v>
      </c>
      <c r="D310" s="15">
        <v>73.2</v>
      </c>
      <c r="E310" s="13" t="s">
        <v>411</v>
      </c>
      <c r="F310" s="13" t="s">
        <v>116</v>
      </c>
      <c r="G310" s="13" t="s">
        <v>412</v>
      </c>
      <c r="H310" s="13" t="s">
        <v>413</v>
      </c>
    </row>
    <row r="311" spans="1:8">
      <c r="A311" s="10" t="s">
        <v>164</v>
      </c>
      <c r="B311" s="11">
        <v>2005</v>
      </c>
      <c r="C311" s="10" t="s">
        <v>222</v>
      </c>
      <c r="D311" s="12">
        <v>0.12</v>
      </c>
      <c r="E311" s="10" t="s">
        <v>411</v>
      </c>
      <c r="F311" s="10" t="s">
        <v>116</v>
      </c>
      <c r="G311" s="10" t="s">
        <v>412</v>
      </c>
      <c r="H311" s="10" t="s">
        <v>413</v>
      </c>
    </row>
    <row r="312" spans="1:8">
      <c r="A312" s="13" t="s">
        <v>140</v>
      </c>
      <c r="B312" s="14">
        <v>2005</v>
      </c>
      <c r="C312" s="13" t="s">
        <v>222</v>
      </c>
      <c r="D312" s="15">
        <v>0.39</v>
      </c>
      <c r="E312" s="13" t="s">
        <v>411</v>
      </c>
      <c r="F312" s="13" t="s">
        <v>116</v>
      </c>
      <c r="G312" s="13" t="s">
        <v>412</v>
      </c>
      <c r="H312" s="13" t="s">
        <v>413</v>
      </c>
    </row>
    <row r="313" spans="1:8">
      <c r="A313" s="10" t="s">
        <v>165</v>
      </c>
      <c r="B313" s="11">
        <v>2005</v>
      </c>
      <c r="C313" s="10" t="s">
        <v>222</v>
      </c>
      <c r="D313" s="12">
        <v>8.24</v>
      </c>
      <c r="E313" s="10" t="s">
        <v>411</v>
      </c>
      <c r="F313" s="10" t="s">
        <v>116</v>
      </c>
      <c r="G313" s="10" t="s">
        <v>412</v>
      </c>
      <c r="H313" s="10" t="s">
        <v>413</v>
      </c>
    </row>
    <row r="314" spans="1:8">
      <c r="A314" s="13" t="s">
        <v>138</v>
      </c>
      <c r="B314" s="14">
        <v>2005</v>
      </c>
      <c r="C314" s="13" t="s">
        <v>222</v>
      </c>
      <c r="D314" s="15">
        <v>0</v>
      </c>
      <c r="E314" s="13" t="s">
        <v>411</v>
      </c>
      <c r="F314" s="13" t="s">
        <v>116</v>
      </c>
      <c r="G314" s="13" t="s">
        <v>412</v>
      </c>
      <c r="H314" s="13" t="s">
        <v>413</v>
      </c>
    </row>
    <row r="315" spans="1:8">
      <c r="A315" s="10" t="s">
        <v>166</v>
      </c>
      <c r="B315" s="11">
        <v>2005</v>
      </c>
      <c r="C315" s="10" t="s">
        <v>222</v>
      </c>
      <c r="D315" s="12">
        <v>0</v>
      </c>
      <c r="E315" s="10" t="s">
        <v>411</v>
      </c>
      <c r="F315" s="10" t="s">
        <v>116</v>
      </c>
      <c r="G315" s="10" t="s">
        <v>414</v>
      </c>
      <c r="H315" s="10" t="s">
        <v>413</v>
      </c>
    </row>
    <row r="316" spans="1:8">
      <c r="A316" s="13" t="s">
        <v>167</v>
      </c>
      <c r="B316" s="14">
        <v>2005</v>
      </c>
      <c r="C316" s="13" t="s">
        <v>222</v>
      </c>
      <c r="D316" s="15">
        <v>0.04</v>
      </c>
      <c r="E316" s="13" t="s">
        <v>411</v>
      </c>
      <c r="F316" s="13" t="s">
        <v>116</v>
      </c>
      <c r="G316" s="13" t="s">
        <v>414</v>
      </c>
      <c r="H316" s="13" t="s">
        <v>413</v>
      </c>
    </row>
    <row r="317" spans="1:8">
      <c r="A317" s="10" t="s">
        <v>138</v>
      </c>
      <c r="B317" s="11">
        <v>2006</v>
      </c>
      <c r="C317" s="10" t="s">
        <v>222</v>
      </c>
      <c r="D317" s="12">
        <v>2.0099999999999998</v>
      </c>
      <c r="E317" s="10" t="s">
        <v>411</v>
      </c>
      <c r="F317" s="10" t="s">
        <v>116</v>
      </c>
      <c r="G317" s="10" t="s">
        <v>412</v>
      </c>
      <c r="H317" s="10" t="s">
        <v>413</v>
      </c>
    </row>
    <row r="318" spans="1:8">
      <c r="A318" s="13" t="s">
        <v>122</v>
      </c>
      <c r="B318" s="14">
        <v>2006</v>
      </c>
      <c r="C318" s="13" t="s">
        <v>222</v>
      </c>
      <c r="D318" s="15">
        <v>142.91</v>
      </c>
      <c r="E318" s="13" t="s">
        <v>411</v>
      </c>
      <c r="F318" s="13" t="s">
        <v>116</v>
      </c>
      <c r="G318" s="13" t="s">
        <v>412</v>
      </c>
      <c r="H318" s="13" t="s">
        <v>413</v>
      </c>
    </row>
    <row r="319" spans="1:8">
      <c r="A319" s="10" t="s">
        <v>123</v>
      </c>
      <c r="B319" s="11">
        <v>2006</v>
      </c>
      <c r="C319" s="10" t="s">
        <v>222</v>
      </c>
      <c r="D319" s="12">
        <v>67.53</v>
      </c>
      <c r="E319" s="10" t="s">
        <v>411</v>
      </c>
      <c r="F319" s="10" t="s">
        <v>116</v>
      </c>
      <c r="G319" s="10" t="s">
        <v>412</v>
      </c>
      <c r="H319" s="10" t="s">
        <v>413</v>
      </c>
    </row>
    <row r="320" spans="1:8">
      <c r="A320" s="13" t="s">
        <v>164</v>
      </c>
      <c r="B320" s="14">
        <v>2006</v>
      </c>
      <c r="C320" s="13" t="s">
        <v>222</v>
      </c>
      <c r="D320" s="15">
        <v>0.11</v>
      </c>
      <c r="E320" s="13" t="s">
        <v>411</v>
      </c>
      <c r="F320" s="13" t="s">
        <v>116</v>
      </c>
      <c r="G320" s="13" t="s">
        <v>412</v>
      </c>
      <c r="H320" s="13" t="s">
        <v>413</v>
      </c>
    </row>
    <row r="321" spans="1:8">
      <c r="A321" s="10" t="s">
        <v>140</v>
      </c>
      <c r="B321" s="11">
        <v>2006</v>
      </c>
      <c r="C321" s="10" t="s">
        <v>222</v>
      </c>
      <c r="D321" s="12">
        <v>0.36</v>
      </c>
      <c r="E321" s="10" t="s">
        <v>411</v>
      </c>
      <c r="F321" s="10" t="s">
        <v>116</v>
      </c>
      <c r="G321" s="10" t="s">
        <v>412</v>
      </c>
      <c r="H321" s="10" t="s">
        <v>413</v>
      </c>
    </row>
    <row r="322" spans="1:8">
      <c r="A322" s="13" t="s">
        <v>165</v>
      </c>
      <c r="B322" s="14">
        <v>2006</v>
      </c>
      <c r="C322" s="13" t="s">
        <v>222</v>
      </c>
      <c r="D322" s="15">
        <v>9.24</v>
      </c>
      <c r="E322" s="13" t="s">
        <v>411</v>
      </c>
      <c r="F322" s="13" t="s">
        <v>116</v>
      </c>
      <c r="G322" s="13" t="s">
        <v>412</v>
      </c>
      <c r="H322" s="13" t="s">
        <v>413</v>
      </c>
    </row>
    <row r="323" spans="1:8">
      <c r="A323" s="10" t="s">
        <v>138</v>
      </c>
      <c r="B323" s="11">
        <v>2006</v>
      </c>
      <c r="C323" s="10" t="s">
        <v>222</v>
      </c>
      <c r="D323" s="12">
        <v>0</v>
      </c>
      <c r="E323" s="10" t="s">
        <v>411</v>
      </c>
      <c r="F323" s="10" t="s">
        <v>116</v>
      </c>
      <c r="G323" s="10" t="s">
        <v>412</v>
      </c>
      <c r="H323" s="10" t="s">
        <v>413</v>
      </c>
    </row>
    <row r="324" spans="1:8">
      <c r="A324" s="13" t="s">
        <v>166</v>
      </c>
      <c r="B324" s="14">
        <v>2006</v>
      </c>
      <c r="C324" s="13" t="s">
        <v>222</v>
      </c>
      <c r="D324" s="15">
        <v>0</v>
      </c>
      <c r="E324" s="13" t="s">
        <v>411</v>
      </c>
      <c r="F324" s="13" t="s">
        <v>116</v>
      </c>
      <c r="G324" s="13" t="s">
        <v>414</v>
      </c>
      <c r="H324" s="13" t="s">
        <v>413</v>
      </c>
    </row>
    <row r="325" spans="1:8">
      <c r="A325" s="10" t="s">
        <v>167</v>
      </c>
      <c r="B325" s="11">
        <v>2006</v>
      </c>
      <c r="C325" s="10" t="s">
        <v>222</v>
      </c>
      <c r="D325" s="12">
        <v>0.05</v>
      </c>
      <c r="E325" s="10" t="s">
        <v>411</v>
      </c>
      <c r="F325" s="10" t="s">
        <v>116</v>
      </c>
      <c r="G325" s="10" t="s">
        <v>414</v>
      </c>
      <c r="H325" s="10" t="s">
        <v>413</v>
      </c>
    </row>
    <row r="326" spans="1:8">
      <c r="A326" s="13" t="s">
        <v>138</v>
      </c>
      <c r="B326" s="14">
        <v>2007</v>
      </c>
      <c r="C326" s="13" t="s">
        <v>222</v>
      </c>
      <c r="D326" s="15">
        <v>2.0099999999999998</v>
      </c>
      <c r="E326" s="13" t="s">
        <v>411</v>
      </c>
      <c r="F326" s="13" t="s">
        <v>116</v>
      </c>
      <c r="G326" s="13" t="s">
        <v>412</v>
      </c>
      <c r="H326" s="13" t="s">
        <v>413</v>
      </c>
    </row>
    <row r="327" spans="1:8">
      <c r="A327" s="10" t="s">
        <v>122</v>
      </c>
      <c r="B327" s="11">
        <v>2007</v>
      </c>
      <c r="C327" s="10" t="s">
        <v>222</v>
      </c>
      <c r="D327" s="12">
        <v>130.51</v>
      </c>
      <c r="E327" s="10" t="s">
        <v>411</v>
      </c>
      <c r="F327" s="10" t="s">
        <v>116</v>
      </c>
      <c r="G327" s="10" t="s">
        <v>412</v>
      </c>
      <c r="H327" s="10" t="s">
        <v>413</v>
      </c>
    </row>
    <row r="328" spans="1:8">
      <c r="A328" s="13" t="s">
        <v>123</v>
      </c>
      <c r="B328" s="14">
        <v>2007</v>
      </c>
      <c r="C328" s="13" t="s">
        <v>222</v>
      </c>
      <c r="D328" s="15">
        <v>79.5</v>
      </c>
      <c r="E328" s="13" t="s">
        <v>411</v>
      </c>
      <c r="F328" s="13" t="s">
        <v>116</v>
      </c>
      <c r="G328" s="13" t="s">
        <v>412</v>
      </c>
      <c r="H328" s="13" t="s">
        <v>413</v>
      </c>
    </row>
    <row r="329" spans="1:8">
      <c r="A329" s="10" t="s">
        <v>164</v>
      </c>
      <c r="B329" s="11">
        <v>2007</v>
      </c>
      <c r="C329" s="10" t="s">
        <v>222</v>
      </c>
      <c r="D329" s="12">
        <v>0.12</v>
      </c>
      <c r="E329" s="10" t="s">
        <v>411</v>
      </c>
      <c r="F329" s="10" t="s">
        <v>116</v>
      </c>
      <c r="G329" s="10" t="s">
        <v>412</v>
      </c>
      <c r="H329" s="10" t="s">
        <v>413</v>
      </c>
    </row>
    <row r="330" spans="1:8">
      <c r="A330" s="13" t="s">
        <v>140</v>
      </c>
      <c r="B330" s="14">
        <v>2007</v>
      </c>
      <c r="C330" s="13" t="s">
        <v>222</v>
      </c>
      <c r="D330" s="15">
        <v>0.3</v>
      </c>
      <c r="E330" s="13" t="s">
        <v>411</v>
      </c>
      <c r="F330" s="13" t="s">
        <v>116</v>
      </c>
      <c r="G330" s="13" t="s">
        <v>412</v>
      </c>
      <c r="H330" s="13" t="s">
        <v>413</v>
      </c>
    </row>
    <row r="331" spans="1:8">
      <c r="A331" s="10" t="s">
        <v>165</v>
      </c>
      <c r="B331" s="11">
        <v>2007</v>
      </c>
      <c r="C331" s="10" t="s">
        <v>222</v>
      </c>
      <c r="D331" s="12">
        <v>8.14</v>
      </c>
      <c r="E331" s="10" t="s">
        <v>411</v>
      </c>
      <c r="F331" s="10" t="s">
        <v>116</v>
      </c>
      <c r="G331" s="10" t="s">
        <v>412</v>
      </c>
      <c r="H331" s="10" t="s">
        <v>413</v>
      </c>
    </row>
    <row r="332" spans="1:8">
      <c r="A332" s="13" t="s">
        <v>138</v>
      </c>
      <c r="B332" s="14">
        <v>2007</v>
      </c>
      <c r="C332" s="13" t="s">
        <v>222</v>
      </c>
      <c r="D332" s="15">
        <v>0</v>
      </c>
      <c r="E332" s="13" t="s">
        <v>411</v>
      </c>
      <c r="F332" s="13" t="s">
        <v>116</v>
      </c>
      <c r="G332" s="13" t="s">
        <v>412</v>
      </c>
      <c r="H332" s="13" t="s">
        <v>413</v>
      </c>
    </row>
    <row r="333" spans="1:8">
      <c r="A333" s="10" t="s">
        <v>166</v>
      </c>
      <c r="B333" s="11">
        <v>2007</v>
      </c>
      <c r="C333" s="10" t="s">
        <v>222</v>
      </c>
      <c r="D333" s="12">
        <v>0</v>
      </c>
      <c r="E333" s="10" t="s">
        <v>411</v>
      </c>
      <c r="F333" s="10" t="s">
        <v>116</v>
      </c>
      <c r="G333" s="10" t="s">
        <v>414</v>
      </c>
      <c r="H333" s="10" t="s">
        <v>413</v>
      </c>
    </row>
    <row r="334" spans="1:8">
      <c r="A334" s="13" t="s">
        <v>167</v>
      </c>
      <c r="B334" s="14">
        <v>2007</v>
      </c>
      <c r="C334" s="13" t="s">
        <v>222</v>
      </c>
      <c r="D334" s="15">
        <v>7.0000000000000007E-2</v>
      </c>
      <c r="E334" s="13" t="s">
        <v>411</v>
      </c>
      <c r="F334" s="13" t="s">
        <v>116</v>
      </c>
      <c r="G334" s="13" t="s">
        <v>414</v>
      </c>
      <c r="H334" s="13" t="s">
        <v>413</v>
      </c>
    </row>
    <row r="335" spans="1:8">
      <c r="A335" s="10" t="s">
        <v>138</v>
      </c>
      <c r="B335" s="11">
        <v>2008</v>
      </c>
      <c r="C335" s="10" t="s">
        <v>222</v>
      </c>
      <c r="D335" s="12">
        <v>2.09</v>
      </c>
      <c r="E335" s="10" t="s">
        <v>411</v>
      </c>
      <c r="F335" s="10" t="s">
        <v>116</v>
      </c>
      <c r="G335" s="10" t="s">
        <v>412</v>
      </c>
      <c r="H335" s="10" t="s">
        <v>413</v>
      </c>
    </row>
    <row r="336" spans="1:8">
      <c r="A336" s="13" t="s">
        <v>122</v>
      </c>
      <c r="B336" s="14">
        <v>2008</v>
      </c>
      <c r="C336" s="13" t="s">
        <v>222</v>
      </c>
      <c r="D336" s="15">
        <v>119.41</v>
      </c>
      <c r="E336" s="13" t="s">
        <v>411</v>
      </c>
      <c r="F336" s="13" t="s">
        <v>116</v>
      </c>
      <c r="G336" s="13" t="s">
        <v>412</v>
      </c>
      <c r="H336" s="13" t="s">
        <v>413</v>
      </c>
    </row>
    <row r="337" spans="1:8">
      <c r="A337" s="10" t="s">
        <v>123</v>
      </c>
      <c r="B337" s="11">
        <v>2008</v>
      </c>
      <c r="C337" s="10" t="s">
        <v>222</v>
      </c>
      <c r="D337" s="12">
        <v>84.5</v>
      </c>
      <c r="E337" s="10" t="s">
        <v>411</v>
      </c>
      <c r="F337" s="10" t="s">
        <v>116</v>
      </c>
      <c r="G337" s="10" t="s">
        <v>412</v>
      </c>
      <c r="H337" s="10" t="s">
        <v>413</v>
      </c>
    </row>
    <row r="338" spans="1:8">
      <c r="A338" s="13" t="s">
        <v>164</v>
      </c>
      <c r="B338" s="14">
        <v>2008</v>
      </c>
      <c r="C338" s="13" t="s">
        <v>222</v>
      </c>
      <c r="D338" s="15">
        <v>0.12</v>
      </c>
      <c r="E338" s="13" t="s">
        <v>411</v>
      </c>
      <c r="F338" s="13" t="s">
        <v>116</v>
      </c>
      <c r="G338" s="13" t="s">
        <v>412</v>
      </c>
      <c r="H338" s="13" t="s">
        <v>413</v>
      </c>
    </row>
    <row r="339" spans="1:8">
      <c r="A339" s="10" t="s">
        <v>140</v>
      </c>
      <c r="B339" s="11">
        <v>2008</v>
      </c>
      <c r="C339" s="10" t="s">
        <v>222</v>
      </c>
      <c r="D339" s="12">
        <v>0.25</v>
      </c>
      <c r="E339" s="10" t="s">
        <v>411</v>
      </c>
      <c r="F339" s="10" t="s">
        <v>116</v>
      </c>
      <c r="G339" s="10" t="s">
        <v>412</v>
      </c>
      <c r="H339" s="10" t="s">
        <v>413</v>
      </c>
    </row>
    <row r="340" spans="1:8">
      <c r="A340" s="13" t="s">
        <v>165</v>
      </c>
      <c r="B340" s="14">
        <v>2008</v>
      </c>
      <c r="C340" s="13" t="s">
        <v>222</v>
      </c>
      <c r="D340" s="15">
        <v>9.17</v>
      </c>
      <c r="E340" s="13" t="s">
        <v>411</v>
      </c>
      <c r="F340" s="13" t="s">
        <v>116</v>
      </c>
      <c r="G340" s="13" t="s">
        <v>412</v>
      </c>
      <c r="H340" s="13" t="s">
        <v>413</v>
      </c>
    </row>
    <row r="341" spans="1:8">
      <c r="A341" s="10" t="s">
        <v>138</v>
      </c>
      <c r="B341" s="11">
        <v>2008</v>
      </c>
      <c r="C341" s="10" t="s">
        <v>222</v>
      </c>
      <c r="D341" s="12">
        <v>0</v>
      </c>
      <c r="E341" s="10" t="s">
        <v>411</v>
      </c>
      <c r="F341" s="10" t="s">
        <v>116</v>
      </c>
      <c r="G341" s="10" t="s">
        <v>412</v>
      </c>
      <c r="H341" s="10" t="s">
        <v>413</v>
      </c>
    </row>
    <row r="342" spans="1:8">
      <c r="A342" s="13" t="s">
        <v>166</v>
      </c>
      <c r="B342" s="14">
        <v>2008</v>
      </c>
      <c r="C342" s="13" t="s">
        <v>222</v>
      </c>
      <c r="D342" s="15">
        <v>0</v>
      </c>
      <c r="E342" s="13" t="s">
        <v>411</v>
      </c>
      <c r="F342" s="13" t="s">
        <v>116</v>
      </c>
      <c r="G342" s="13" t="s">
        <v>414</v>
      </c>
      <c r="H342" s="13" t="s">
        <v>413</v>
      </c>
    </row>
    <row r="343" spans="1:8">
      <c r="A343" s="10" t="s">
        <v>167</v>
      </c>
      <c r="B343" s="11">
        <v>2008</v>
      </c>
      <c r="C343" s="10" t="s">
        <v>222</v>
      </c>
      <c r="D343" s="12">
        <v>0.09</v>
      </c>
      <c r="E343" s="10" t="s">
        <v>411</v>
      </c>
      <c r="F343" s="10" t="s">
        <v>116</v>
      </c>
      <c r="G343" s="10" t="s">
        <v>414</v>
      </c>
      <c r="H343" s="10" t="s">
        <v>413</v>
      </c>
    </row>
    <row r="344" spans="1:8">
      <c r="A344" s="13" t="s">
        <v>138</v>
      </c>
      <c r="B344" s="14">
        <v>2009</v>
      </c>
      <c r="C344" s="13" t="s">
        <v>222</v>
      </c>
      <c r="D344" s="15">
        <v>2.3199999999999998</v>
      </c>
      <c r="E344" s="13" t="s">
        <v>411</v>
      </c>
      <c r="F344" s="13" t="s">
        <v>116</v>
      </c>
      <c r="G344" s="13" t="s">
        <v>412</v>
      </c>
      <c r="H344" s="13" t="s">
        <v>413</v>
      </c>
    </row>
    <row r="345" spans="1:8">
      <c r="A345" s="10" t="s">
        <v>122</v>
      </c>
      <c r="B345" s="11">
        <v>2009</v>
      </c>
      <c r="C345" s="10" t="s">
        <v>222</v>
      </c>
      <c r="D345" s="12">
        <v>98.92</v>
      </c>
      <c r="E345" s="10" t="s">
        <v>411</v>
      </c>
      <c r="F345" s="10" t="s">
        <v>116</v>
      </c>
      <c r="G345" s="10" t="s">
        <v>412</v>
      </c>
      <c r="H345" s="10" t="s">
        <v>413</v>
      </c>
    </row>
    <row r="346" spans="1:8">
      <c r="A346" s="13" t="s">
        <v>123</v>
      </c>
      <c r="B346" s="14">
        <v>2009</v>
      </c>
      <c r="C346" s="13" t="s">
        <v>222</v>
      </c>
      <c r="D346" s="15">
        <v>79.84</v>
      </c>
      <c r="E346" s="13" t="s">
        <v>411</v>
      </c>
      <c r="F346" s="13" t="s">
        <v>116</v>
      </c>
      <c r="G346" s="13" t="s">
        <v>412</v>
      </c>
      <c r="H346" s="13" t="s">
        <v>413</v>
      </c>
    </row>
    <row r="347" spans="1:8">
      <c r="A347" s="10" t="s">
        <v>164</v>
      </c>
      <c r="B347" s="11">
        <v>2009</v>
      </c>
      <c r="C347" s="10" t="s">
        <v>222</v>
      </c>
      <c r="D347" s="12">
        <v>0.12</v>
      </c>
      <c r="E347" s="10" t="s">
        <v>411</v>
      </c>
      <c r="F347" s="10" t="s">
        <v>116</v>
      </c>
      <c r="G347" s="10" t="s">
        <v>412</v>
      </c>
      <c r="H347" s="10" t="s">
        <v>413</v>
      </c>
    </row>
    <row r="348" spans="1:8">
      <c r="A348" s="13" t="s">
        <v>140</v>
      </c>
      <c r="B348" s="14">
        <v>2009</v>
      </c>
      <c r="C348" s="13" t="s">
        <v>222</v>
      </c>
      <c r="D348" s="15">
        <v>0.33</v>
      </c>
      <c r="E348" s="13" t="s">
        <v>411</v>
      </c>
      <c r="F348" s="13" t="s">
        <v>116</v>
      </c>
      <c r="G348" s="13" t="s">
        <v>412</v>
      </c>
      <c r="H348" s="13" t="s">
        <v>413</v>
      </c>
    </row>
    <row r="349" spans="1:8">
      <c r="A349" s="10" t="s">
        <v>165</v>
      </c>
      <c r="B349" s="11">
        <v>2009</v>
      </c>
      <c r="C349" s="10" t="s">
        <v>222</v>
      </c>
      <c r="D349" s="12">
        <v>8.48</v>
      </c>
      <c r="E349" s="10" t="s">
        <v>411</v>
      </c>
      <c r="F349" s="10" t="s">
        <v>116</v>
      </c>
      <c r="G349" s="10" t="s">
        <v>412</v>
      </c>
      <c r="H349" s="10" t="s">
        <v>413</v>
      </c>
    </row>
    <row r="350" spans="1:8">
      <c r="A350" s="13" t="s">
        <v>138</v>
      </c>
      <c r="B350" s="14">
        <v>2009</v>
      </c>
      <c r="C350" s="13" t="s">
        <v>222</v>
      </c>
      <c r="D350" s="15">
        <v>0</v>
      </c>
      <c r="E350" s="13" t="s">
        <v>411</v>
      </c>
      <c r="F350" s="13" t="s">
        <v>116</v>
      </c>
      <c r="G350" s="13" t="s">
        <v>412</v>
      </c>
      <c r="H350" s="13" t="s">
        <v>413</v>
      </c>
    </row>
    <row r="351" spans="1:8">
      <c r="A351" s="10" t="s">
        <v>166</v>
      </c>
      <c r="B351" s="11">
        <v>2009</v>
      </c>
      <c r="C351" s="10" t="s">
        <v>222</v>
      </c>
      <c r="D351" s="12">
        <v>0</v>
      </c>
      <c r="E351" s="10" t="s">
        <v>411</v>
      </c>
      <c r="F351" s="10" t="s">
        <v>116</v>
      </c>
      <c r="G351" s="10" t="s">
        <v>414</v>
      </c>
      <c r="H351" s="10" t="s">
        <v>413</v>
      </c>
    </row>
    <row r="352" spans="1:8">
      <c r="A352" s="13" t="s">
        <v>167</v>
      </c>
      <c r="B352" s="14">
        <v>2009</v>
      </c>
      <c r="C352" s="13" t="s">
        <v>222</v>
      </c>
      <c r="D352" s="15">
        <v>0.12</v>
      </c>
      <c r="E352" s="13" t="s">
        <v>411</v>
      </c>
      <c r="F352" s="13" t="s">
        <v>116</v>
      </c>
      <c r="G352" s="13" t="s">
        <v>414</v>
      </c>
      <c r="H352" s="13" t="s">
        <v>413</v>
      </c>
    </row>
    <row r="353" spans="1:8">
      <c r="A353" s="10" t="s">
        <v>138</v>
      </c>
      <c r="B353" s="11">
        <v>2010</v>
      </c>
      <c r="C353" s="10" t="s">
        <v>222</v>
      </c>
      <c r="D353" s="12">
        <v>2.65</v>
      </c>
      <c r="E353" s="10" t="s">
        <v>411</v>
      </c>
      <c r="F353" s="10" t="s">
        <v>116</v>
      </c>
      <c r="G353" s="10" t="s">
        <v>412</v>
      </c>
      <c r="H353" s="10" t="s">
        <v>413</v>
      </c>
    </row>
    <row r="354" spans="1:8">
      <c r="A354" s="13" t="s">
        <v>122</v>
      </c>
      <c r="B354" s="14">
        <v>2010</v>
      </c>
      <c r="C354" s="13" t="s">
        <v>222</v>
      </c>
      <c r="D354" s="15">
        <v>103.29</v>
      </c>
      <c r="E354" s="13" t="s">
        <v>411</v>
      </c>
      <c r="F354" s="13" t="s">
        <v>116</v>
      </c>
      <c r="G354" s="13" t="s">
        <v>412</v>
      </c>
      <c r="H354" s="13" t="s">
        <v>413</v>
      </c>
    </row>
    <row r="355" spans="1:8">
      <c r="A355" s="10" t="s">
        <v>123</v>
      </c>
      <c r="B355" s="11">
        <v>2010</v>
      </c>
      <c r="C355" s="10" t="s">
        <v>222</v>
      </c>
      <c r="D355" s="12">
        <v>84.23</v>
      </c>
      <c r="E355" s="10" t="s">
        <v>411</v>
      </c>
      <c r="F355" s="10" t="s">
        <v>116</v>
      </c>
      <c r="G355" s="10" t="s">
        <v>412</v>
      </c>
      <c r="H355" s="10" t="s">
        <v>413</v>
      </c>
    </row>
    <row r="356" spans="1:8">
      <c r="A356" s="13" t="s">
        <v>164</v>
      </c>
      <c r="B356" s="14">
        <v>2010</v>
      </c>
      <c r="C356" s="13" t="s">
        <v>222</v>
      </c>
      <c r="D356" s="15">
        <v>0.09</v>
      </c>
      <c r="E356" s="13" t="s">
        <v>411</v>
      </c>
      <c r="F356" s="13" t="s">
        <v>116</v>
      </c>
      <c r="G356" s="13" t="s">
        <v>412</v>
      </c>
      <c r="H356" s="13" t="s">
        <v>413</v>
      </c>
    </row>
    <row r="357" spans="1:8">
      <c r="A357" s="10" t="s">
        <v>140</v>
      </c>
      <c r="B357" s="11">
        <v>2010</v>
      </c>
      <c r="C357" s="10" t="s">
        <v>222</v>
      </c>
      <c r="D357" s="12">
        <v>0.3</v>
      </c>
      <c r="E357" s="10" t="s">
        <v>411</v>
      </c>
      <c r="F357" s="10" t="s">
        <v>116</v>
      </c>
      <c r="G357" s="10" t="s">
        <v>412</v>
      </c>
      <c r="H357" s="10" t="s">
        <v>413</v>
      </c>
    </row>
    <row r="358" spans="1:8">
      <c r="A358" s="13" t="s">
        <v>165</v>
      </c>
      <c r="B358" s="14">
        <v>2010</v>
      </c>
      <c r="C358" s="13" t="s">
        <v>222</v>
      </c>
      <c r="D358" s="15">
        <v>6.91</v>
      </c>
      <c r="E358" s="13" t="s">
        <v>411</v>
      </c>
      <c r="F358" s="13" t="s">
        <v>116</v>
      </c>
      <c r="G358" s="13" t="s">
        <v>412</v>
      </c>
      <c r="H358" s="13" t="s">
        <v>413</v>
      </c>
    </row>
    <row r="359" spans="1:8">
      <c r="A359" s="10" t="s">
        <v>138</v>
      </c>
      <c r="B359" s="11">
        <v>2010</v>
      </c>
      <c r="C359" s="10" t="s">
        <v>222</v>
      </c>
      <c r="D359" s="12">
        <v>0</v>
      </c>
      <c r="E359" s="10" t="s">
        <v>411</v>
      </c>
      <c r="F359" s="10" t="s">
        <v>116</v>
      </c>
      <c r="G359" s="10" t="s">
        <v>412</v>
      </c>
      <c r="H359" s="10" t="s">
        <v>413</v>
      </c>
    </row>
    <row r="360" spans="1:8">
      <c r="A360" s="13" t="s">
        <v>166</v>
      </c>
      <c r="B360" s="14">
        <v>2010</v>
      </c>
      <c r="C360" s="13" t="s">
        <v>222</v>
      </c>
      <c r="D360" s="15">
        <v>0</v>
      </c>
      <c r="E360" s="13" t="s">
        <v>411</v>
      </c>
      <c r="F360" s="13" t="s">
        <v>116</v>
      </c>
      <c r="G360" s="13" t="s">
        <v>414</v>
      </c>
      <c r="H360" s="13" t="s">
        <v>413</v>
      </c>
    </row>
    <row r="361" spans="1:8">
      <c r="A361" s="10" t="s">
        <v>167</v>
      </c>
      <c r="B361" s="11">
        <v>2010</v>
      </c>
      <c r="C361" s="10" t="s">
        <v>222</v>
      </c>
      <c r="D361" s="12">
        <v>0.13</v>
      </c>
      <c r="E361" s="10" t="s">
        <v>411</v>
      </c>
      <c r="F361" s="10" t="s">
        <v>116</v>
      </c>
      <c r="G361" s="10" t="s">
        <v>414</v>
      </c>
      <c r="H361" s="10" t="s">
        <v>413</v>
      </c>
    </row>
    <row r="362" spans="1:8">
      <c r="A362" s="13" t="s">
        <v>138</v>
      </c>
      <c r="B362" s="14">
        <v>2011</v>
      </c>
      <c r="C362" s="13" t="s">
        <v>222</v>
      </c>
      <c r="D362" s="15">
        <v>2.88</v>
      </c>
      <c r="E362" s="13" t="s">
        <v>411</v>
      </c>
      <c r="F362" s="13" t="s">
        <v>116</v>
      </c>
      <c r="G362" s="13" t="s">
        <v>412</v>
      </c>
      <c r="H362" s="13" t="s">
        <v>413</v>
      </c>
    </row>
    <row r="363" spans="1:8">
      <c r="A363" s="10" t="s">
        <v>122</v>
      </c>
      <c r="B363" s="11">
        <v>2011</v>
      </c>
      <c r="C363" s="10" t="s">
        <v>222</v>
      </c>
      <c r="D363" s="12">
        <v>104.22</v>
      </c>
      <c r="E363" s="10" t="s">
        <v>411</v>
      </c>
      <c r="F363" s="10" t="s">
        <v>116</v>
      </c>
      <c r="G363" s="10" t="s">
        <v>412</v>
      </c>
      <c r="H363" s="10" t="s">
        <v>413</v>
      </c>
    </row>
    <row r="364" spans="1:8">
      <c r="A364" s="13" t="s">
        <v>123</v>
      </c>
      <c r="B364" s="14">
        <v>2011</v>
      </c>
      <c r="C364" s="13" t="s">
        <v>222</v>
      </c>
      <c r="D364" s="15">
        <v>70.25</v>
      </c>
      <c r="E364" s="13" t="s">
        <v>411</v>
      </c>
      <c r="F364" s="13" t="s">
        <v>116</v>
      </c>
      <c r="G364" s="13" t="s">
        <v>412</v>
      </c>
      <c r="H364" s="13" t="s">
        <v>413</v>
      </c>
    </row>
    <row r="365" spans="1:8">
      <c r="A365" s="10" t="s">
        <v>164</v>
      </c>
      <c r="B365" s="11">
        <v>2011</v>
      </c>
      <c r="C365" s="10" t="s">
        <v>222</v>
      </c>
      <c r="D365" s="12">
        <v>0.14000000000000001</v>
      </c>
      <c r="E365" s="10" t="s">
        <v>411</v>
      </c>
      <c r="F365" s="10" t="s">
        <v>116</v>
      </c>
      <c r="G365" s="10" t="s">
        <v>412</v>
      </c>
      <c r="H365" s="10" t="s">
        <v>413</v>
      </c>
    </row>
    <row r="366" spans="1:8">
      <c r="A366" s="13" t="s">
        <v>140</v>
      </c>
      <c r="B366" s="14">
        <v>2011</v>
      </c>
      <c r="C366" s="13" t="s">
        <v>222</v>
      </c>
      <c r="D366" s="15">
        <v>0.33</v>
      </c>
      <c r="E366" s="13" t="s">
        <v>411</v>
      </c>
      <c r="F366" s="13" t="s">
        <v>116</v>
      </c>
      <c r="G366" s="13" t="s">
        <v>412</v>
      </c>
      <c r="H366" s="13" t="s">
        <v>413</v>
      </c>
    </row>
    <row r="367" spans="1:8">
      <c r="A367" s="10" t="s">
        <v>165</v>
      </c>
      <c r="B367" s="11">
        <v>2011</v>
      </c>
      <c r="C367" s="10" t="s">
        <v>222</v>
      </c>
      <c r="D367" s="12">
        <v>5.82</v>
      </c>
      <c r="E367" s="10" t="s">
        <v>411</v>
      </c>
      <c r="F367" s="10" t="s">
        <v>116</v>
      </c>
      <c r="G367" s="10" t="s">
        <v>412</v>
      </c>
      <c r="H367" s="10" t="s">
        <v>413</v>
      </c>
    </row>
    <row r="368" spans="1:8">
      <c r="A368" s="13" t="s">
        <v>138</v>
      </c>
      <c r="B368" s="14">
        <v>2011</v>
      </c>
      <c r="C368" s="13" t="s">
        <v>222</v>
      </c>
      <c r="D368" s="15">
        <v>0</v>
      </c>
      <c r="E368" s="13" t="s">
        <v>411</v>
      </c>
      <c r="F368" s="13" t="s">
        <v>116</v>
      </c>
      <c r="G368" s="13" t="s">
        <v>412</v>
      </c>
      <c r="H368" s="13" t="s">
        <v>413</v>
      </c>
    </row>
    <row r="369" spans="1:8">
      <c r="A369" s="10" t="s">
        <v>166</v>
      </c>
      <c r="B369" s="11">
        <v>2011</v>
      </c>
      <c r="C369" s="10" t="s">
        <v>222</v>
      </c>
      <c r="D369" s="12">
        <v>0.01</v>
      </c>
      <c r="E369" s="10" t="s">
        <v>411</v>
      </c>
      <c r="F369" s="10" t="s">
        <v>116</v>
      </c>
      <c r="G369" s="10" t="s">
        <v>414</v>
      </c>
      <c r="H369" s="10" t="s">
        <v>413</v>
      </c>
    </row>
    <row r="370" spans="1:8">
      <c r="A370" s="13" t="s">
        <v>167</v>
      </c>
      <c r="B370" s="14">
        <v>2011</v>
      </c>
      <c r="C370" s="13" t="s">
        <v>222</v>
      </c>
      <c r="D370" s="15">
        <v>0.2</v>
      </c>
      <c r="E370" s="13" t="s">
        <v>411</v>
      </c>
      <c r="F370" s="13" t="s">
        <v>116</v>
      </c>
      <c r="G370" s="13" t="s">
        <v>414</v>
      </c>
      <c r="H370" s="13" t="s">
        <v>413</v>
      </c>
    </row>
    <row r="371" spans="1:8">
      <c r="A371" s="10" t="s">
        <v>138</v>
      </c>
      <c r="B371" s="11">
        <v>2012</v>
      </c>
      <c r="C371" s="10" t="s">
        <v>222</v>
      </c>
      <c r="D371" s="12">
        <v>3.19</v>
      </c>
      <c r="E371" s="10" t="s">
        <v>411</v>
      </c>
      <c r="F371" s="10" t="s">
        <v>116</v>
      </c>
      <c r="G371" s="10" t="s">
        <v>412</v>
      </c>
      <c r="H371" s="10" t="s">
        <v>413</v>
      </c>
    </row>
    <row r="372" spans="1:8">
      <c r="A372" s="13" t="s">
        <v>122</v>
      </c>
      <c r="B372" s="14">
        <v>2012</v>
      </c>
      <c r="C372" s="13" t="s">
        <v>222</v>
      </c>
      <c r="D372" s="15">
        <v>137.38999999999999</v>
      </c>
      <c r="E372" s="13" t="s">
        <v>411</v>
      </c>
      <c r="F372" s="13" t="s">
        <v>116</v>
      </c>
      <c r="G372" s="13" t="s">
        <v>412</v>
      </c>
      <c r="H372" s="13" t="s">
        <v>413</v>
      </c>
    </row>
    <row r="373" spans="1:8">
      <c r="A373" s="10" t="s">
        <v>123</v>
      </c>
      <c r="B373" s="11">
        <v>2012</v>
      </c>
      <c r="C373" s="10" t="s">
        <v>222</v>
      </c>
      <c r="D373" s="12">
        <v>48.03</v>
      </c>
      <c r="E373" s="10" t="s">
        <v>411</v>
      </c>
      <c r="F373" s="10" t="s">
        <v>116</v>
      </c>
      <c r="G373" s="10" t="s">
        <v>412</v>
      </c>
      <c r="H373" s="10" t="s">
        <v>413</v>
      </c>
    </row>
    <row r="374" spans="1:8">
      <c r="A374" s="13" t="s">
        <v>164</v>
      </c>
      <c r="B374" s="14">
        <v>2012</v>
      </c>
      <c r="C374" s="13" t="s">
        <v>222</v>
      </c>
      <c r="D374" s="15">
        <v>0.13</v>
      </c>
      <c r="E374" s="13" t="s">
        <v>411</v>
      </c>
      <c r="F374" s="13" t="s">
        <v>116</v>
      </c>
      <c r="G374" s="13" t="s">
        <v>412</v>
      </c>
      <c r="H374" s="13" t="s">
        <v>413</v>
      </c>
    </row>
    <row r="375" spans="1:8">
      <c r="A375" s="10" t="s">
        <v>140</v>
      </c>
      <c r="B375" s="11">
        <v>2012</v>
      </c>
      <c r="C375" s="10" t="s">
        <v>222</v>
      </c>
      <c r="D375" s="12">
        <v>0.34</v>
      </c>
      <c r="E375" s="10" t="s">
        <v>411</v>
      </c>
      <c r="F375" s="10" t="s">
        <v>116</v>
      </c>
      <c r="G375" s="10" t="s">
        <v>412</v>
      </c>
      <c r="H375" s="10" t="s">
        <v>413</v>
      </c>
    </row>
    <row r="376" spans="1:8">
      <c r="A376" s="13" t="s">
        <v>165</v>
      </c>
      <c r="B376" s="14">
        <v>2012</v>
      </c>
      <c r="C376" s="13" t="s">
        <v>222</v>
      </c>
      <c r="D376" s="15">
        <v>6.09</v>
      </c>
      <c r="E376" s="13" t="s">
        <v>411</v>
      </c>
      <c r="F376" s="13" t="s">
        <v>116</v>
      </c>
      <c r="G376" s="13" t="s">
        <v>412</v>
      </c>
      <c r="H376" s="13" t="s">
        <v>413</v>
      </c>
    </row>
    <row r="377" spans="1:8">
      <c r="A377" s="10" t="s">
        <v>138</v>
      </c>
      <c r="B377" s="11">
        <v>2012</v>
      </c>
      <c r="C377" s="10" t="s">
        <v>222</v>
      </c>
      <c r="D377" s="12">
        <v>0</v>
      </c>
      <c r="E377" s="10" t="s">
        <v>411</v>
      </c>
      <c r="F377" s="10" t="s">
        <v>116</v>
      </c>
      <c r="G377" s="10" t="s">
        <v>412</v>
      </c>
      <c r="H377" s="10" t="s">
        <v>413</v>
      </c>
    </row>
    <row r="378" spans="1:8">
      <c r="A378" s="13" t="s">
        <v>166</v>
      </c>
      <c r="B378" s="14">
        <v>2012</v>
      </c>
      <c r="C378" s="13" t="s">
        <v>222</v>
      </c>
      <c r="D378" s="15">
        <v>0.06</v>
      </c>
      <c r="E378" s="13" t="s">
        <v>411</v>
      </c>
      <c r="F378" s="13" t="s">
        <v>116</v>
      </c>
      <c r="G378" s="13" t="s">
        <v>414</v>
      </c>
      <c r="H378" s="13" t="s">
        <v>413</v>
      </c>
    </row>
    <row r="379" spans="1:8">
      <c r="A379" s="10" t="s">
        <v>167</v>
      </c>
      <c r="B379" s="11">
        <v>2012</v>
      </c>
      <c r="C379" s="10" t="s">
        <v>222</v>
      </c>
      <c r="D379" s="12">
        <v>0.25</v>
      </c>
      <c r="E379" s="10" t="s">
        <v>411</v>
      </c>
      <c r="F379" s="10" t="s">
        <v>116</v>
      </c>
      <c r="G379" s="10" t="s">
        <v>414</v>
      </c>
      <c r="H379" s="10" t="s">
        <v>413</v>
      </c>
    </row>
    <row r="380" spans="1:8">
      <c r="A380" s="13" t="s">
        <v>138</v>
      </c>
      <c r="B380" s="14">
        <v>2013</v>
      </c>
      <c r="C380" s="13" t="s">
        <v>222</v>
      </c>
      <c r="D380" s="15">
        <v>3.91</v>
      </c>
      <c r="E380" s="13" t="s">
        <v>411</v>
      </c>
      <c r="F380" s="13" t="s">
        <v>116</v>
      </c>
      <c r="G380" s="13" t="s">
        <v>412</v>
      </c>
      <c r="H380" s="13" t="s">
        <v>413</v>
      </c>
    </row>
    <row r="381" spans="1:8">
      <c r="A381" s="10" t="s">
        <v>122</v>
      </c>
      <c r="B381" s="11">
        <v>2013</v>
      </c>
      <c r="C381" s="10" t="s">
        <v>222</v>
      </c>
      <c r="D381" s="12">
        <v>125.34</v>
      </c>
      <c r="E381" s="10" t="s">
        <v>411</v>
      </c>
      <c r="F381" s="10" t="s">
        <v>116</v>
      </c>
      <c r="G381" s="10" t="s">
        <v>412</v>
      </c>
      <c r="H381" s="10" t="s">
        <v>413</v>
      </c>
    </row>
    <row r="382" spans="1:8">
      <c r="A382" s="13" t="s">
        <v>123</v>
      </c>
      <c r="B382" s="14">
        <v>2013</v>
      </c>
      <c r="C382" s="13" t="s">
        <v>222</v>
      </c>
      <c r="D382" s="15">
        <v>45.96</v>
      </c>
      <c r="E382" s="13" t="s">
        <v>411</v>
      </c>
      <c r="F382" s="13" t="s">
        <v>116</v>
      </c>
      <c r="G382" s="13" t="s">
        <v>412</v>
      </c>
      <c r="H382" s="13" t="s">
        <v>413</v>
      </c>
    </row>
    <row r="383" spans="1:8">
      <c r="A383" s="10" t="s">
        <v>164</v>
      </c>
      <c r="B383" s="11">
        <v>2013</v>
      </c>
      <c r="C383" s="10" t="s">
        <v>222</v>
      </c>
      <c r="D383" s="12">
        <v>0.11</v>
      </c>
      <c r="E383" s="10" t="s">
        <v>411</v>
      </c>
      <c r="F383" s="10" t="s">
        <v>116</v>
      </c>
      <c r="G383" s="10" t="s">
        <v>412</v>
      </c>
      <c r="H383" s="10" t="s">
        <v>413</v>
      </c>
    </row>
    <row r="384" spans="1:8">
      <c r="A384" s="13" t="s">
        <v>140</v>
      </c>
      <c r="B384" s="14">
        <v>2013</v>
      </c>
      <c r="C384" s="13" t="s">
        <v>222</v>
      </c>
      <c r="D384" s="15">
        <v>0.34</v>
      </c>
      <c r="E384" s="13" t="s">
        <v>411</v>
      </c>
      <c r="F384" s="13" t="s">
        <v>116</v>
      </c>
      <c r="G384" s="13" t="s">
        <v>412</v>
      </c>
      <c r="H384" s="13" t="s">
        <v>413</v>
      </c>
    </row>
    <row r="385" spans="1:8">
      <c r="A385" s="10" t="s">
        <v>165</v>
      </c>
      <c r="B385" s="11">
        <v>2013</v>
      </c>
      <c r="C385" s="10" t="s">
        <v>222</v>
      </c>
      <c r="D385" s="12">
        <v>5.5</v>
      </c>
      <c r="E385" s="10" t="s">
        <v>411</v>
      </c>
      <c r="F385" s="10" t="s">
        <v>116</v>
      </c>
      <c r="G385" s="10" t="s">
        <v>412</v>
      </c>
      <c r="H385" s="10" t="s">
        <v>413</v>
      </c>
    </row>
    <row r="386" spans="1:8">
      <c r="A386" s="13" t="s">
        <v>138</v>
      </c>
      <c r="B386" s="14">
        <v>2013</v>
      </c>
      <c r="C386" s="13" t="s">
        <v>222</v>
      </c>
      <c r="D386" s="15">
        <v>0</v>
      </c>
      <c r="E386" s="13" t="s">
        <v>411</v>
      </c>
      <c r="F386" s="13" t="s">
        <v>116</v>
      </c>
      <c r="G386" s="13" t="s">
        <v>412</v>
      </c>
      <c r="H386" s="13" t="s">
        <v>413</v>
      </c>
    </row>
    <row r="387" spans="1:8">
      <c r="A387" s="10" t="s">
        <v>166</v>
      </c>
      <c r="B387" s="11">
        <v>2013</v>
      </c>
      <c r="C387" s="10" t="s">
        <v>222</v>
      </c>
      <c r="D387" s="12">
        <v>0.1</v>
      </c>
      <c r="E387" s="10" t="s">
        <v>411</v>
      </c>
      <c r="F387" s="10" t="s">
        <v>116</v>
      </c>
      <c r="G387" s="10" t="s">
        <v>414</v>
      </c>
      <c r="H387" s="10" t="s">
        <v>413</v>
      </c>
    </row>
    <row r="388" spans="1:8">
      <c r="A388" s="13" t="s">
        <v>167</v>
      </c>
      <c r="B388" s="14">
        <v>2013</v>
      </c>
      <c r="C388" s="13" t="s">
        <v>222</v>
      </c>
      <c r="D388" s="15">
        <v>0.36</v>
      </c>
      <c r="E388" s="13" t="s">
        <v>411</v>
      </c>
      <c r="F388" s="13" t="s">
        <v>116</v>
      </c>
      <c r="G388" s="13" t="s">
        <v>414</v>
      </c>
      <c r="H388" s="13" t="s">
        <v>413</v>
      </c>
    </row>
    <row r="389" spans="1:8">
      <c r="A389" s="10" t="s">
        <v>138</v>
      </c>
      <c r="B389" s="11">
        <v>2014</v>
      </c>
      <c r="C389" s="10" t="s">
        <v>222</v>
      </c>
      <c r="D389" s="12">
        <v>4.8899999999999997</v>
      </c>
      <c r="E389" s="10" t="s">
        <v>411</v>
      </c>
      <c r="F389" s="10" t="s">
        <v>116</v>
      </c>
      <c r="G389" s="10" t="s">
        <v>412</v>
      </c>
      <c r="H389" s="10" t="s">
        <v>413</v>
      </c>
    </row>
    <row r="390" spans="1:8">
      <c r="A390" s="13" t="s">
        <v>122</v>
      </c>
      <c r="B390" s="14">
        <v>2014</v>
      </c>
      <c r="C390" s="13" t="s">
        <v>222</v>
      </c>
      <c r="D390" s="15">
        <v>96.46</v>
      </c>
      <c r="E390" s="13" t="s">
        <v>411</v>
      </c>
      <c r="F390" s="13" t="s">
        <v>116</v>
      </c>
      <c r="G390" s="13" t="s">
        <v>412</v>
      </c>
      <c r="H390" s="13" t="s">
        <v>413</v>
      </c>
    </row>
    <row r="391" spans="1:8">
      <c r="A391" s="10" t="s">
        <v>123</v>
      </c>
      <c r="B391" s="11">
        <v>2014</v>
      </c>
      <c r="C391" s="10" t="s">
        <v>222</v>
      </c>
      <c r="D391" s="12">
        <v>48.38</v>
      </c>
      <c r="E391" s="10" t="s">
        <v>411</v>
      </c>
      <c r="F391" s="10" t="s">
        <v>116</v>
      </c>
      <c r="G391" s="10" t="s">
        <v>412</v>
      </c>
      <c r="H391" s="10" t="s">
        <v>413</v>
      </c>
    </row>
    <row r="392" spans="1:8">
      <c r="A392" s="13" t="s">
        <v>164</v>
      </c>
      <c r="B392" s="14">
        <v>2014</v>
      </c>
      <c r="C392" s="13" t="s">
        <v>222</v>
      </c>
      <c r="D392" s="15">
        <v>0.14000000000000001</v>
      </c>
      <c r="E392" s="13" t="s">
        <v>411</v>
      </c>
      <c r="F392" s="13" t="s">
        <v>116</v>
      </c>
      <c r="G392" s="13" t="s">
        <v>412</v>
      </c>
      <c r="H392" s="13" t="s">
        <v>413</v>
      </c>
    </row>
    <row r="393" spans="1:8">
      <c r="A393" s="10" t="s">
        <v>140</v>
      </c>
      <c r="B393" s="11">
        <v>2014</v>
      </c>
      <c r="C393" s="10" t="s">
        <v>222</v>
      </c>
      <c r="D393" s="12">
        <v>0.31</v>
      </c>
      <c r="E393" s="10" t="s">
        <v>411</v>
      </c>
      <c r="F393" s="10" t="s">
        <v>116</v>
      </c>
      <c r="G393" s="10" t="s">
        <v>412</v>
      </c>
      <c r="H393" s="10" t="s">
        <v>413</v>
      </c>
    </row>
    <row r="394" spans="1:8">
      <c r="A394" s="13" t="s">
        <v>165</v>
      </c>
      <c r="B394" s="14">
        <v>2014</v>
      </c>
      <c r="C394" s="13" t="s">
        <v>222</v>
      </c>
      <c r="D394" s="15">
        <v>5.72</v>
      </c>
      <c r="E394" s="13" t="s">
        <v>411</v>
      </c>
      <c r="F394" s="13" t="s">
        <v>116</v>
      </c>
      <c r="G394" s="13" t="s">
        <v>412</v>
      </c>
      <c r="H394" s="13" t="s">
        <v>413</v>
      </c>
    </row>
    <row r="395" spans="1:8">
      <c r="A395" s="10" t="s">
        <v>138</v>
      </c>
      <c r="B395" s="11">
        <v>2014</v>
      </c>
      <c r="C395" s="10" t="s">
        <v>222</v>
      </c>
      <c r="D395" s="12">
        <v>0</v>
      </c>
      <c r="E395" s="10" t="s">
        <v>411</v>
      </c>
      <c r="F395" s="10" t="s">
        <v>116</v>
      </c>
      <c r="G395" s="10" t="s">
        <v>412</v>
      </c>
      <c r="H395" s="10" t="s">
        <v>413</v>
      </c>
    </row>
    <row r="396" spans="1:8">
      <c r="A396" s="13" t="s">
        <v>166</v>
      </c>
      <c r="B396" s="14">
        <v>2014</v>
      </c>
      <c r="C396" s="13" t="s">
        <v>222</v>
      </c>
      <c r="D396" s="15">
        <v>0.19</v>
      </c>
      <c r="E396" s="13" t="s">
        <v>411</v>
      </c>
      <c r="F396" s="13" t="s">
        <v>116</v>
      </c>
      <c r="G396" s="13" t="s">
        <v>414</v>
      </c>
      <c r="H396" s="13" t="s">
        <v>413</v>
      </c>
    </row>
    <row r="397" spans="1:8">
      <c r="A397" s="10" t="s">
        <v>167</v>
      </c>
      <c r="B397" s="11">
        <v>2014</v>
      </c>
      <c r="C397" s="10" t="s">
        <v>222</v>
      </c>
      <c r="D397" s="12">
        <v>0.4</v>
      </c>
      <c r="E397" s="10" t="s">
        <v>411</v>
      </c>
      <c r="F397" s="10" t="s">
        <v>116</v>
      </c>
      <c r="G397" s="10" t="s">
        <v>414</v>
      </c>
      <c r="H397" s="10" t="s">
        <v>413</v>
      </c>
    </row>
    <row r="398" spans="1:8">
      <c r="A398" s="13" t="s">
        <v>138</v>
      </c>
      <c r="B398" s="14">
        <v>2015</v>
      </c>
      <c r="C398" s="13" t="s">
        <v>222</v>
      </c>
      <c r="D398" s="15">
        <v>6.33</v>
      </c>
      <c r="E398" s="13" t="s">
        <v>411</v>
      </c>
      <c r="F398" s="13" t="s">
        <v>116</v>
      </c>
      <c r="G398" s="13" t="s">
        <v>412</v>
      </c>
      <c r="H398" s="13" t="s">
        <v>413</v>
      </c>
    </row>
    <row r="399" spans="1:8">
      <c r="A399" s="10" t="s">
        <v>122</v>
      </c>
      <c r="B399" s="11">
        <v>2015</v>
      </c>
      <c r="C399" s="10" t="s">
        <v>222</v>
      </c>
      <c r="D399" s="12">
        <v>73.02</v>
      </c>
      <c r="E399" s="10" t="s">
        <v>411</v>
      </c>
      <c r="F399" s="10" t="s">
        <v>116</v>
      </c>
      <c r="G399" s="10" t="s">
        <v>412</v>
      </c>
      <c r="H399" s="10" t="s">
        <v>413</v>
      </c>
    </row>
    <row r="400" spans="1:8">
      <c r="A400" s="13" t="s">
        <v>123</v>
      </c>
      <c r="B400" s="14">
        <v>2015</v>
      </c>
      <c r="C400" s="13" t="s">
        <v>222</v>
      </c>
      <c r="D400" s="15">
        <v>47.9</v>
      </c>
      <c r="E400" s="13" t="s">
        <v>411</v>
      </c>
      <c r="F400" s="13" t="s">
        <v>116</v>
      </c>
      <c r="G400" s="13" t="s">
        <v>412</v>
      </c>
      <c r="H400" s="13" t="s">
        <v>413</v>
      </c>
    </row>
    <row r="401" spans="1:8">
      <c r="A401" s="10" t="s">
        <v>164</v>
      </c>
      <c r="B401" s="11">
        <v>2015</v>
      </c>
      <c r="C401" s="10" t="s">
        <v>222</v>
      </c>
      <c r="D401" s="12">
        <v>0.15</v>
      </c>
      <c r="E401" s="10" t="s">
        <v>411</v>
      </c>
      <c r="F401" s="10" t="s">
        <v>116</v>
      </c>
      <c r="G401" s="10" t="s">
        <v>412</v>
      </c>
      <c r="H401" s="10" t="s">
        <v>413</v>
      </c>
    </row>
    <row r="402" spans="1:8">
      <c r="A402" s="13" t="s">
        <v>140</v>
      </c>
      <c r="B402" s="14">
        <v>2015</v>
      </c>
      <c r="C402" s="13" t="s">
        <v>222</v>
      </c>
      <c r="D402" s="15">
        <v>0.34</v>
      </c>
      <c r="E402" s="13" t="s">
        <v>411</v>
      </c>
      <c r="F402" s="13" t="s">
        <v>116</v>
      </c>
      <c r="G402" s="13" t="s">
        <v>412</v>
      </c>
      <c r="H402" s="13" t="s">
        <v>413</v>
      </c>
    </row>
    <row r="403" spans="1:8">
      <c r="A403" s="10" t="s">
        <v>165</v>
      </c>
      <c r="B403" s="11">
        <v>2015</v>
      </c>
      <c r="C403" s="10" t="s">
        <v>222</v>
      </c>
      <c r="D403" s="12">
        <v>6.19</v>
      </c>
      <c r="E403" s="10" t="s">
        <v>411</v>
      </c>
      <c r="F403" s="10" t="s">
        <v>116</v>
      </c>
      <c r="G403" s="10" t="s">
        <v>412</v>
      </c>
      <c r="H403" s="10" t="s">
        <v>413</v>
      </c>
    </row>
    <row r="404" spans="1:8">
      <c r="A404" s="13" t="s">
        <v>138</v>
      </c>
      <c r="B404" s="14">
        <v>2015</v>
      </c>
      <c r="C404" s="13" t="s">
        <v>222</v>
      </c>
      <c r="D404" s="15">
        <v>0</v>
      </c>
      <c r="E404" s="13" t="s">
        <v>411</v>
      </c>
      <c r="F404" s="13" t="s">
        <v>116</v>
      </c>
      <c r="G404" s="13" t="s">
        <v>412</v>
      </c>
      <c r="H404" s="13" t="s">
        <v>413</v>
      </c>
    </row>
    <row r="405" spans="1:8">
      <c r="A405" s="10" t="s">
        <v>166</v>
      </c>
      <c r="B405" s="11">
        <v>2015</v>
      </c>
      <c r="C405" s="10" t="s">
        <v>222</v>
      </c>
      <c r="D405" s="12">
        <v>0.36</v>
      </c>
      <c r="E405" s="10" t="s">
        <v>411</v>
      </c>
      <c r="F405" s="10" t="s">
        <v>116</v>
      </c>
      <c r="G405" s="10" t="s">
        <v>414</v>
      </c>
      <c r="H405" s="10" t="s">
        <v>413</v>
      </c>
    </row>
    <row r="406" spans="1:8">
      <c r="A406" s="13" t="s">
        <v>167</v>
      </c>
      <c r="B406" s="14">
        <v>2015</v>
      </c>
      <c r="C406" s="13" t="s">
        <v>222</v>
      </c>
      <c r="D406" s="15">
        <v>0.51</v>
      </c>
      <c r="E406" s="13" t="s">
        <v>411</v>
      </c>
      <c r="F406" s="13" t="s">
        <v>116</v>
      </c>
      <c r="G406" s="13" t="s">
        <v>414</v>
      </c>
      <c r="H406" s="13" t="s">
        <v>413</v>
      </c>
    </row>
    <row r="407" spans="1:8">
      <c r="A407" s="10" t="s">
        <v>138</v>
      </c>
      <c r="B407" s="11">
        <v>2016</v>
      </c>
      <c r="C407" s="10" t="s">
        <v>222</v>
      </c>
      <c r="D407" s="12">
        <v>6.5</v>
      </c>
      <c r="E407" s="10" t="s">
        <v>411</v>
      </c>
      <c r="F407" s="10" t="s">
        <v>116</v>
      </c>
      <c r="G407" s="10" t="s">
        <v>412</v>
      </c>
      <c r="H407" s="10" t="s">
        <v>413</v>
      </c>
    </row>
    <row r="408" spans="1:8">
      <c r="A408" s="13" t="s">
        <v>122</v>
      </c>
      <c r="B408" s="14">
        <v>2016</v>
      </c>
      <c r="C408" s="13" t="s">
        <v>222</v>
      </c>
      <c r="D408" s="15">
        <v>29.52</v>
      </c>
      <c r="E408" s="13" t="s">
        <v>411</v>
      </c>
      <c r="F408" s="13" t="s">
        <v>116</v>
      </c>
      <c r="G408" s="13" t="s">
        <v>412</v>
      </c>
      <c r="H408" s="13" t="s">
        <v>413</v>
      </c>
    </row>
    <row r="409" spans="1:8">
      <c r="A409" s="10" t="s">
        <v>123</v>
      </c>
      <c r="B409" s="11">
        <v>2016</v>
      </c>
      <c r="C409" s="10" t="s">
        <v>222</v>
      </c>
      <c r="D409" s="12">
        <v>68.64</v>
      </c>
      <c r="E409" s="10" t="s">
        <v>411</v>
      </c>
      <c r="F409" s="10" t="s">
        <v>116</v>
      </c>
      <c r="G409" s="10" t="s">
        <v>412</v>
      </c>
      <c r="H409" s="10" t="s">
        <v>413</v>
      </c>
    </row>
    <row r="410" spans="1:8">
      <c r="A410" s="13" t="s">
        <v>164</v>
      </c>
      <c r="B410" s="14">
        <v>2016</v>
      </c>
      <c r="C410" s="13" t="s">
        <v>222</v>
      </c>
      <c r="D410" s="15">
        <v>0.13</v>
      </c>
      <c r="E410" s="13" t="s">
        <v>411</v>
      </c>
      <c r="F410" s="13" t="s">
        <v>116</v>
      </c>
      <c r="G410" s="13" t="s">
        <v>412</v>
      </c>
      <c r="H410" s="13" t="s">
        <v>413</v>
      </c>
    </row>
    <row r="411" spans="1:8">
      <c r="A411" s="10" t="s">
        <v>140</v>
      </c>
      <c r="B411" s="11">
        <v>2016</v>
      </c>
      <c r="C411" s="10" t="s">
        <v>222</v>
      </c>
      <c r="D411" s="12">
        <v>0.35</v>
      </c>
      <c r="E411" s="10" t="s">
        <v>411</v>
      </c>
      <c r="F411" s="10" t="s">
        <v>116</v>
      </c>
      <c r="G411" s="10" t="s">
        <v>412</v>
      </c>
      <c r="H411" s="10" t="s">
        <v>413</v>
      </c>
    </row>
    <row r="412" spans="1:8">
      <c r="A412" s="13" t="s">
        <v>165</v>
      </c>
      <c r="B412" s="14">
        <v>2016</v>
      </c>
      <c r="C412" s="13" t="s">
        <v>222</v>
      </c>
      <c r="D412" s="15">
        <v>7</v>
      </c>
      <c r="E412" s="13" t="s">
        <v>411</v>
      </c>
      <c r="F412" s="13" t="s">
        <v>116</v>
      </c>
      <c r="G412" s="13" t="s">
        <v>412</v>
      </c>
      <c r="H412" s="13" t="s">
        <v>413</v>
      </c>
    </row>
    <row r="413" spans="1:8">
      <c r="A413" s="10" t="s">
        <v>138</v>
      </c>
      <c r="B413" s="11">
        <v>2016</v>
      </c>
      <c r="C413" s="10" t="s">
        <v>222</v>
      </c>
      <c r="D413" s="12">
        <v>0</v>
      </c>
      <c r="E413" s="10" t="s">
        <v>411</v>
      </c>
      <c r="F413" s="10" t="s">
        <v>116</v>
      </c>
      <c r="G413" s="10" t="s">
        <v>412</v>
      </c>
      <c r="H413" s="10" t="s">
        <v>413</v>
      </c>
    </row>
    <row r="414" spans="1:8">
      <c r="A414" s="13" t="s">
        <v>166</v>
      </c>
      <c r="B414" s="14">
        <v>2016</v>
      </c>
      <c r="C414" s="13" t="s">
        <v>222</v>
      </c>
      <c r="D414" s="15">
        <v>0.49</v>
      </c>
      <c r="E414" s="13" t="s">
        <v>411</v>
      </c>
      <c r="F414" s="13" t="s">
        <v>116</v>
      </c>
      <c r="G414" s="13" t="s">
        <v>414</v>
      </c>
      <c r="H414" s="13" t="s">
        <v>413</v>
      </c>
    </row>
    <row r="415" spans="1:8">
      <c r="A415" s="10" t="s">
        <v>167</v>
      </c>
      <c r="B415" s="11">
        <v>2016</v>
      </c>
      <c r="C415" s="10" t="s">
        <v>222</v>
      </c>
      <c r="D415" s="12">
        <v>0.47</v>
      </c>
      <c r="E415" s="10" t="s">
        <v>411</v>
      </c>
      <c r="F415" s="10" t="s">
        <v>116</v>
      </c>
      <c r="G415" s="10" t="s">
        <v>414</v>
      </c>
      <c r="H415" s="10" t="s">
        <v>413</v>
      </c>
    </row>
    <row r="416" spans="1:8">
      <c r="A416" s="13" t="s">
        <v>138</v>
      </c>
      <c r="B416" s="14">
        <v>2017</v>
      </c>
      <c r="C416" s="13" t="s">
        <v>222</v>
      </c>
      <c r="D416" s="15">
        <v>6.9</v>
      </c>
      <c r="E416" s="13" t="s">
        <v>411</v>
      </c>
      <c r="F416" s="13" t="s">
        <v>116</v>
      </c>
      <c r="G416" s="13" t="s">
        <v>412</v>
      </c>
      <c r="H416" s="13" t="s">
        <v>413</v>
      </c>
    </row>
    <row r="417" spans="1:8">
      <c r="A417" s="10" t="s">
        <v>122</v>
      </c>
      <c r="B417" s="11">
        <v>2017</v>
      </c>
      <c r="C417" s="10" t="s">
        <v>222</v>
      </c>
      <c r="D417" s="12">
        <v>21.69</v>
      </c>
      <c r="E417" s="10" t="s">
        <v>411</v>
      </c>
      <c r="F417" s="10" t="s">
        <v>116</v>
      </c>
      <c r="G417" s="10" t="s">
        <v>412</v>
      </c>
      <c r="H417" s="10" t="s">
        <v>413</v>
      </c>
    </row>
    <row r="418" spans="1:8">
      <c r="A418" s="13" t="s">
        <v>123</v>
      </c>
      <c r="B418" s="14">
        <v>2017</v>
      </c>
      <c r="C418" s="13" t="s">
        <v>222</v>
      </c>
      <c r="D418" s="15">
        <v>65.58</v>
      </c>
      <c r="E418" s="13" t="s">
        <v>411</v>
      </c>
      <c r="F418" s="13" t="s">
        <v>116</v>
      </c>
      <c r="G418" s="13" t="s">
        <v>412</v>
      </c>
      <c r="H418" s="13" t="s">
        <v>413</v>
      </c>
    </row>
    <row r="419" spans="1:8">
      <c r="A419" s="10" t="s">
        <v>164</v>
      </c>
      <c r="B419" s="11">
        <v>2017</v>
      </c>
      <c r="C419" s="10" t="s">
        <v>222</v>
      </c>
      <c r="D419" s="12">
        <v>0.14000000000000001</v>
      </c>
      <c r="E419" s="10" t="s">
        <v>411</v>
      </c>
      <c r="F419" s="10" t="s">
        <v>116</v>
      </c>
      <c r="G419" s="10" t="s">
        <v>412</v>
      </c>
      <c r="H419" s="10" t="s">
        <v>413</v>
      </c>
    </row>
    <row r="420" spans="1:8">
      <c r="A420" s="13" t="s">
        <v>140</v>
      </c>
      <c r="B420" s="14">
        <v>2017</v>
      </c>
      <c r="C420" s="13" t="s">
        <v>222</v>
      </c>
      <c r="D420" s="15">
        <v>0.34</v>
      </c>
      <c r="E420" s="13" t="s">
        <v>411</v>
      </c>
      <c r="F420" s="13" t="s">
        <v>116</v>
      </c>
      <c r="G420" s="13" t="s">
        <v>412</v>
      </c>
      <c r="H420" s="13" t="s">
        <v>413</v>
      </c>
    </row>
    <row r="421" spans="1:8">
      <c r="A421" s="10" t="s">
        <v>165</v>
      </c>
      <c r="B421" s="11">
        <v>2017</v>
      </c>
      <c r="C421" s="10" t="s">
        <v>222</v>
      </c>
      <c r="D421" s="12">
        <v>6.39</v>
      </c>
      <c r="E421" s="10" t="s">
        <v>411</v>
      </c>
      <c r="F421" s="10" t="s">
        <v>116</v>
      </c>
      <c r="G421" s="10" t="s">
        <v>412</v>
      </c>
      <c r="H421" s="10" t="s">
        <v>413</v>
      </c>
    </row>
    <row r="422" spans="1:8">
      <c r="A422" s="13" t="s">
        <v>138</v>
      </c>
      <c r="B422" s="14">
        <v>2017</v>
      </c>
      <c r="C422" s="13" t="s">
        <v>222</v>
      </c>
      <c r="D422" s="15">
        <v>0</v>
      </c>
      <c r="E422" s="13" t="s">
        <v>411</v>
      </c>
      <c r="F422" s="13" t="s">
        <v>116</v>
      </c>
      <c r="G422" s="13" t="s">
        <v>412</v>
      </c>
      <c r="H422" s="13" t="s">
        <v>413</v>
      </c>
    </row>
    <row r="423" spans="1:8">
      <c r="A423" s="10" t="s">
        <v>166</v>
      </c>
      <c r="B423" s="11">
        <v>2017</v>
      </c>
      <c r="C423" s="10" t="s">
        <v>222</v>
      </c>
      <c r="D423" s="12">
        <v>0.54</v>
      </c>
      <c r="E423" s="10" t="s">
        <v>411</v>
      </c>
      <c r="F423" s="10" t="s">
        <v>116</v>
      </c>
      <c r="G423" s="10" t="s">
        <v>414</v>
      </c>
      <c r="H423" s="10" t="s">
        <v>413</v>
      </c>
    </row>
    <row r="424" spans="1:8">
      <c r="A424" s="13" t="s">
        <v>167</v>
      </c>
      <c r="B424" s="14">
        <v>2017</v>
      </c>
      <c r="C424" s="13" t="s">
        <v>222</v>
      </c>
      <c r="D424" s="15">
        <v>0.63</v>
      </c>
      <c r="E424" s="13" t="s">
        <v>411</v>
      </c>
      <c r="F424" s="13" t="s">
        <v>116</v>
      </c>
      <c r="G424" s="13" t="s">
        <v>414</v>
      </c>
      <c r="H424" s="13" t="s">
        <v>413</v>
      </c>
    </row>
    <row r="425" spans="1:8">
      <c r="A425" s="10" t="s">
        <v>138</v>
      </c>
      <c r="B425" s="11">
        <v>2018</v>
      </c>
      <c r="C425" s="10" t="s">
        <v>222</v>
      </c>
      <c r="D425" s="12">
        <v>7.59</v>
      </c>
      <c r="E425" s="10" t="s">
        <v>411</v>
      </c>
      <c r="F425" s="10" t="s">
        <v>116</v>
      </c>
      <c r="G425" s="10" t="s">
        <v>412</v>
      </c>
      <c r="H425" s="10" t="s">
        <v>413</v>
      </c>
    </row>
    <row r="426" spans="1:8">
      <c r="A426" s="13" t="s">
        <v>122</v>
      </c>
      <c r="B426" s="14">
        <v>2018</v>
      </c>
      <c r="C426" s="13" t="s">
        <v>222</v>
      </c>
      <c r="D426" s="15">
        <v>16.2</v>
      </c>
      <c r="E426" s="13" t="s">
        <v>411</v>
      </c>
      <c r="F426" s="13" t="s">
        <v>116</v>
      </c>
      <c r="G426" s="13" t="s">
        <v>412</v>
      </c>
      <c r="H426" s="13" t="s">
        <v>413</v>
      </c>
    </row>
    <row r="427" spans="1:8">
      <c r="A427" s="10" t="s">
        <v>123</v>
      </c>
      <c r="B427" s="11">
        <v>2018</v>
      </c>
      <c r="C427" s="10" t="s">
        <v>222</v>
      </c>
      <c r="D427" s="12">
        <v>63.05</v>
      </c>
      <c r="E427" s="10" t="s">
        <v>411</v>
      </c>
      <c r="F427" s="10" t="s">
        <v>116</v>
      </c>
      <c r="G427" s="10" t="s">
        <v>412</v>
      </c>
      <c r="H427" s="10" t="s">
        <v>413</v>
      </c>
    </row>
    <row r="428" spans="1:8">
      <c r="A428" s="13" t="s">
        <v>164</v>
      </c>
      <c r="B428" s="14">
        <v>2018</v>
      </c>
      <c r="C428" s="13" t="s">
        <v>222</v>
      </c>
      <c r="D428" s="15">
        <v>0.13</v>
      </c>
      <c r="E428" s="13" t="s">
        <v>411</v>
      </c>
      <c r="F428" s="13" t="s">
        <v>116</v>
      </c>
      <c r="G428" s="13" t="s">
        <v>412</v>
      </c>
      <c r="H428" s="13" t="s">
        <v>413</v>
      </c>
    </row>
    <row r="429" spans="1:8">
      <c r="A429" s="10" t="s">
        <v>140</v>
      </c>
      <c r="B429" s="11">
        <v>2018</v>
      </c>
      <c r="C429" s="10" t="s">
        <v>222</v>
      </c>
      <c r="D429" s="12">
        <v>0.31</v>
      </c>
      <c r="E429" s="10" t="s">
        <v>411</v>
      </c>
      <c r="F429" s="10" t="s">
        <v>116</v>
      </c>
      <c r="G429" s="10" t="s">
        <v>412</v>
      </c>
      <c r="H429" s="10" t="s">
        <v>413</v>
      </c>
    </row>
    <row r="430" spans="1:8">
      <c r="A430" s="13" t="s">
        <v>165</v>
      </c>
      <c r="B430" s="14">
        <v>2018</v>
      </c>
      <c r="C430" s="13" t="s">
        <v>222</v>
      </c>
      <c r="D430" s="15">
        <v>6.74</v>
      </c>
      <c r="E430" s="13" t="s">
        <v>411</v>
      </c>
      <c r="F430" s="13" t="s">
        <v>116</v>
      </c>
      <c r="G430" s="13" t="s">
        <v>412</v>
      </c>
      <c r="H430" s="13" t="s">
        <v>413</v>
      </c>
    </row>
    <row r="431" spans="1:8">
      <c r="A431" s="10" t="s">
        <v>138</v>
      </c>
      <c r="B431" s="11">
        <v>2018</v>
      </c>
      <c r="C431" s="10" t="s">
        <v>222</v>
      </c>
      <c r="D431" s="12">
        <v>0</v>
      </c>
      <c r="E431" s="10" t="s">
        <v>411</v>
      </c>
      <c r="F431" s="10" t="s">
        <v>116</v>
      </c>
      <c r="G431" s="10" t="s">
        <v>412</v>
      </c>
      <c r="H431" s="10" t="s">
        <v>413</v>
      </c>
    </row>
    <row r="432" spans="1:8">
      <c r="A432" s="13" t="s">
        <v>166</v>
      </c>
      <c r="B432" s="14">
        <v>2018</v>
      </c>
      <c r="C432" s="13" t="s">
        <v>222</v>
      </c>
      <c r="D432" s="15">
        <v>0.6</v>
      </c>
      <c r="E432" s="13" t="s">
        <v>411</v>
      </c>
      <c r="F432" s="13" t="s">
        <v>116</v>
      </c>
      <c r="G432" s="13" t="s">
        <v>414</v>
      </c>
      <c r="H432" s="13" t="s">
        <v>413</v>
      </c>
    </row>
    <row r="433" spans="1:8">
      <c r="A433" s="10" t="s">
        <v>167</v>
      </c>
      <c r="B433" s="11">
        <v>2018</v>
      </c>
      <c r="C433" s="10" t="s">
        <v>222</v>
      </c>
      <c r="D433" s="12">
        <v>0.72</v>
      </c>
      <c r="E433" s="10" t="s">
        <v>411</v>
      </c>
      <c r="F433" s="10" t="s">
        <v>116</v>
      </c>
      <c r="G433" s="10" t="s">
        <v>414</v>
      </c>
      <c r="H433" s="10" t="s">
        <v>413</v>
      </c>
    </row>
    <row r="434" spans="1:8">
      <c r="A434" s="13" t="s">
        <v>138</v>
      </c>
      <c r="B434" s="14">
        <v>2019</v>
      </c>
      <c r="C434" s="13" t="s">
        <v>222</v>
      </c>
      <c r="D434" s="15">
        <v>8.1199999999999992</v>
      </c>
      <c r="E434" s="13" t="s">
        <v>411</v>
      </c>
      <c r="F434" s="13" t="s">
        <v>116</v>
      </c>
      <c r="G434" s="13" t="s">
        <v>412</v>
      </c>
      <c r="H434" s="13" t="s">
        <v>413</v>
      </c>
    </row>
    <row r="435" spans="1:8">
      <c r="A435" s="10" t="s">
        <v>122</v>
      </c>
      <c r="B435" s="11">
        <v>2019</v>
      </c>
      <c r="C435" s="10" t="s">
        <v>222</v>
      </c>
      <c r="D435" s="12">
        <v>6.66</v>
      </c>
      <c r="E435" s="10" t="s">
        <v>411</v>
      </c>
      <c r="F435" s="10" t="s">
        <v>116</v>
      </c>
      <c r="G435" s="10" t="s">
        <v>412</v>
      </c>
      <c r="H435" s="10" t="s">
        <v>413</v>
      </c>
    </row>
    <row r="436" spans="1:8">
      <c r="A436" s="13" t="s">
        <v>123</v>
      </c>
      <c r="B436" s="14">
        <v>2019</v>
      </c>
      <c r="C436" s="13" t="s">
        <v>222</v>
      </c>
      <c r="D436" s="15">
        <v>63.82</v>
      </c>
      <c r="E436" s="13" t="s">
        <v>411</v>
      </c>
      <c r="F436" s="13" t="s">
        <v>116</v>
      </c>
      <c r="G436" s="13" t="s">
        <v>412</v>
      </c>
      <c r="H436" s="13" t="s">
        <v>413</v>
      </c>
    </row>
    <row r="437" spans="1:8">
      <c r="A437" s="10" t="s">
        <v>164</v>
      </c>
      <c r="B437" s="11">
        <v>2019</v>
      </c>
      <c r="C437" s="10" t="s">
        <v>222</v>
      </c>
      <c r="D437" s="12">
        <v>0.14000000000000001</v>
      </c>
      <c r="E437" s="10" t="s">
        <v>411</v>
      </c>
      <c r="F437" s="10" t="s">
        <v>116</v>
      </c>
      <c r="G437" s="10" t="s">
        <v>412</v>
      </c>
      <c r="H437" s="10" t="s">
        <v>413</v>
      </c>
    </row>
    <row r="438" spans="1:8">
      <c r="A438" s="13" t="s">
        <v>140</v>
      </c>
      <c r="B438" s="14">
        <v>2019</v>
      </c>
      <c r="C438" s="13" t="s">
        <v>222</v>
      </c>
      <c r="D438" s="15">
        <v>0.27</v>
      </c>
      <c r="E438" s="13" t="s">
        <v>411</v>
      </c>
      <c r="F438" s="13" t="s">
        <v>116</v>
      </c>
      <c r="G438" s="13" t="s">
        <v>412</v>
      </c>
      <c r="H438" s="13" t="s">
        <v>413</v>
      </c>
    </row>
    <row r="439" spans="1:8">
      <c r="A439" s="10" t="s">
        <v>165</v>
      </c>
      <c r="B439" s="11">
        <v>2019</v>
      </c>
      <c r="C439" s="10" t="s">
        <v>222</v>
      </c>
      <c r="D439" s="12">
        <v>7.41</v>
      </c>
      <c r="E439" s="10" t="s">
        <v>411</v>
      </c>
      <c r="F439" s="10" t="s">
        <v>116</v>
      </c>
      <c r="G439" s="10" t="s">
        <v>412</v>
      </c>
      <c r="H439" s="10" t="s">
        <v>413</v>
      </c>
    </row>
    <row r="440" spans="1:8">
      <c r="A440" s="13" t="s">
        <v>138</v>
      </c>
      <c r="B440" s="14">
        <v>2019</v>
      </c>
      <c r="C440" s="13" t="s">
        <v>222</v>
      </c>
      <c r="D440" s="15">
        <v>0</v>
      </c>
      <c r="E440" s="13" t="s">
        <v>411</v>
      </c>
      <c r="F440" s="13" t="s">
        <v>116</v>
      </c>
      <c r="G440" s="13" t="s">
        <v>412</v>
      </c>
      <c r="H440" s="13" t="s">
        <v>413</v>
      </c>
    </row>
    <row r="441" spans="1:8">
      <c r="A441" s="10" t="s">
        <v>166</v>
      </c>
      <c r="B441" s="11">
        <v>2019</v>
      </c>
      <c r="C441" s="10" t="s">
        <v>222</v>
      </c>
      <c r="D441" s="12">
        <v>0.59</v>
      </c>
      <c r="E441" s="10" t="s">
        <v>411</v>
      </c>
      <c r="F441" s="10" t="s">
        <v>116</v>
      </c>
      <c r="G441" s="10" t="s">
        <v>414</v>
      </c>
      <c r="H441" s="10" t="s">
        <v>413</v>
      </c>
    </row>
    <row r="442" spans="1:8">
      <c r="A442" s="13" t="s">
        <v>167</v>
      </c>
      <c r="B442" s="14">
        <v>2019</v>
      </c>
      <c r="C442" s="13" t="s">
        <v>222</v>
      </c>
      <c r="D442" s="15">
        <v>0.81</v>
      </c>
      <c r="E442" s="13" t="s">
        <v>411</v>
      </c>
      <c r="F442" s="13" t="s">
        <v>116</v>
      </c>
      <c r="G442" s="13" t="s">
        <v>414</v>
      </c>
      <c r="H442" s="13" t="s">
        <v>413</v>
      </c>
    </row>
    <row r="443" spans="1:8">
      <c r="A443" s="10" t="s">
        <v>138</v>
      </c>
      <c r="B443" s="11">
        <v>2020</v>
      </c>
      <c r="C443" s="10" t="s">
        <v>222</v>
      </c>
      <c r="D443" s="12">
        <v>8.34</v>
      </c>
      <c r="E443" s="10" t="s">
        <v>411</v>
      </c>
      <c r="F443" s="10" t="s">
        <v>116</v>
      </c>
      <c r="G443" s="10" t="s">
        <v>412</v>
      </c>
      <c r="H443" s="10" t="s">
        <v>413</v>
      </c>
    </row>
    <row r="444" spans="1:8">
      <c r="A444" s="13" t="s">
        <v>122</v>
      </c>
      <c r="B444" s="14">
        <v>2020</v>
      </c>
      <c r="C444" s="13" t="s">
        <v>222</v>
      </c>
      <c r="D444" s="15">
        <v>5.49</v>
      </c>
      <c r="E444" s="13" t="s">
        <v>411</v>
      </c>
      <c r="F444" s="13" t="s">
        <v>116</v>
      </c>
      <c r="G444" s="13" t="s">
        <v>412</v>
      </c>
      <c r="H444" s="13" t="s">
        <v>413</v>
      </c>
    </row>
    <row r="445" spans="1:8">
      <c r="A445" s="10" t="s">
        <v>123</v>
      </c>
      <c r="B445" s="11">
        <v>2020</v>
      </c>
      <c r="C445" s="10" t="s">
        <v>222</v>
      </c>
      <c r="D445" s="12">
        <v>53.65</v>
      </c>
      <c r="E445" s="10" t="s">
        <v>411</v>
      </c>
      <c r="F445" s="10" t="s">
        <v>116</v>
      </c>
      <c r="G445" s="10" t="s">
        <v>412</v>
      </c>
      <c r="H445" s="10" t="s">
        <v>413</v>
      </c>
    </row>
    <row r="446" spans="1:8">
      <c r="A446" s="13" t="s">
        <v>164</v>
      </c>
      <c r="B446" s="14">
        <v>2020</v>
      </c>
      <c r="C446" s="13" t="s">
        <v>222</v>
      </c>
      <c r="D446" s="15">
        <v>0.16</v>
      </c>
      <c r="E446" s="13" t="s">
        <v>411</v>
      </c>
      <c r="F446" s="13" t="s">
        <v>116</v>
      </c>
      <c r="G446" s="13" t="s">
        <v>412</v>
      </c>
      <c r="H446" s="13" t="s">
        <v>413</v>
      </c>
    </row>
    <row r="447" spans="1:8">
      <c r="A447" s="10" t="s">
        <v>140</v>
      </c>
      <c r="B447" s="11">
        <v>2020</v>
      </c>
      <c r="C447" s="10" t="s">
        <v>222</v>
      </c>
      <c r="D447" s="12">
        <v>0.24</v>
      </c>
      <c r="E447" s="10" t="s">
        <v>411</v>
      </c>
      <c r="F447" s="10" t="s">
        <v>116</v>
      </c>
      <c r="G447" s="10" t="s">
        <v>412</v>
      </c>
      <c r="H447" s="10" t="s">
        <v>413</v>
      </c>
    </row>
    <row r="448" spans="1:8">
      <c r="A448" s="13" t="s">
        <v>165</v>
      </c>
      <c r="B448" s="14">
        <v>2020</v>
      </c>
      <c r="C448" s="13" t="s">
        <v>222</v>
      </c>
      <c r="D448" s="15">
        <v>5.82</v>
      </c>
      <c r="E448" s="13" t="s">
        <v>411</v>
      </c>
      <c r="F448" s="13" t="s">
        <v>116</v>
      </c>
      <c r="G448" s="13" t="s">
        <v>412</v>
      </c>
      <c r="H448" s="13" t="s">
        <v>413</v>
      </c>
    </row>
    <row r="449" spans="1:8">
      <c r="A449" s="10" t="s">
        <v>166</v>
      </c>
      <c r="B449" s="11">
        <v>2020</v>
      </c>
      <c r="C449" s="10" t="s">
        <v>222</v>
      </c>
      <c r="D449" s="12">
        <v>0.6</v>
      </c>
      <c r="E449" s="10" t="s">
        <v>411</v>
      </c>
      <c r="F449" s="10" t="s">
        <v>116</v>
      </c>
      <c r="G449" s="10" t="s">
        <v>414</v>
      </c>
      <c r="H449" s="10" t="s">
        <v>413</v>
      </c>
    </row>
    <row r="450" spans="1:8">
      <c r="A450" s="13" t="s">
        <v>167</v>
      </c>
      <c r="B450" s="14">
        <v>2020</v>
      </c>
      <c r="C450" s="13" t="s">
        <v>222</v>
      </c>
      <c r="D450" s="15">
        <v>0.96</v>
      </c>
      <c r="E450" s="13" t="s">
        <v>411</v>
      </c>
      <c r="F450" s="13" t="s">
        <v>116</v>
      </c>
      <c r="G450" s="13" t="s">
        <v>414</v>
      </c>
      <c r="H450" s="13" t="s">
        <v>413</v>
      </c>
    </row>
    <row r="451" spans="1:8">
      <c r="A451" s="10" t="s">
        <v>138</v>
      </c>
      <c r="B451" s="11">
        <v>2021</v>
      </c>
      <c r="C451" s="10" t="s">
        <v>222</v>
      </c>
      <c r="D451" s="12">
        <v>8.65</v>
      </c>
      <c r="E451" s="10" t="s">
        <v>411</v>
      </c>
      <c r="F451" s="10" t="s">
        <v>116</v>
      </c>
      <c r="G451" s="10" t="s">
        <v>412</v>
      </c>
      <c r="H451" s="10" t="s">
        <v>413</v>
      </c>
    </row>
    <row r="452" spans="1:8">
      <c r="A452" s="13" t="s">
        <v>122</v>
      </c>
      <c r="B452" s="14">
        <v>2021</v>
      </c>
      <c r="C452" s="13" t="s">
        <v>222</v>
      </c>
      <c r="D452" s="15">
        <v>6.55</v>
      </c>
      <c r="E452" s="13" t="s">
        <v>411</v>
      </c>
      <c r="F452" s="13" t="s">
        <v>116</v>
      </c>
      <c r="G452" s="13" t="s">
        <v>412</v>
      </c>
      <c r="H452" s="13" t="s">
        <v>413</v>
      </c>
    </row>
    <row r="453" spans="1:8">
      <c r="A453" s="10" t="s">
        <v>123</v>
      </c>
      <c r="B453" s="11">
        <v>2021</v>
      </c>
      <c r="C453" s="10" t="s">
        <v>222</v>
      </c>
      <c r="D453" s="12">
        <v>58.91</v>
      </c>
      <c r="E453" s="10" t="s">
        <v>411</v>
      </c>
      <c r="F453" s="10" t="s">
        <v>116</v>
      </c>
      <c r="G453" s="10" t="s">
        <v>412</v>
      </c>
      <c r="H453" s="10" t="s">
        <v>413</v>
      </c>
    </row>
    <row r="454" spans="1:8">
      <c r="A454" s="13" t="s">
        <v>164</v>
      </c>
      <c r="B454" s="14">
        <v>2021</v>
      </c>
      <c r="C454" s="13" t="s">
        <v>222</v>
      </c>
      <c r="D454" s="15">
        <v>0.13</v>
      </c>
      <c r="E454" s="13" t="s">
        <v>411</v>
      </c>
      <c r="F454" s="13" t="s">
        <v>116</v>
      </c>
      <c r="G454" s="13" t="s">
        <v>412</v>
      </c>
      <c r="H454" s="13" t="s">
        <v>413</v>
      </c>
    </row>
    <row r="455" spans="1:8">
      <c r="A455" s="10" t="s">
        <v>140</v>
      </c>
      <c r="B455" s="11">
        <v>2021</v>
      </c>
      <c r="C455" s="10" t="s">
        <v>222</v>
      </c>
      <c r="D455" s="12">
        <v>0.22</v>
      </c>
      <c r="E455" s="10" t="s">
        <v>411</v>
      </c>
      <c r="F455" s="10" t="s">
        <v>116</v>
      </c>
      <c r="G455" s="10" t="s">
        <v>412</v>
      </c>
      <c r="H455" s="10" t="s">
        <v>413</v>
      </c>
    </row>
    <row r="456" spans="1:8">
      <c r="A456" s="13" t="s">
        <v>165</v>
      </c>
      <c r="B456" s="14">
        <v>2021</v>
      </c>
      <c r="C456" s="13" t="s">
        <v>222</v>
      </c>
      <c r="D456" s="15">
        <v>6.37</v>
      </c>
      <c r="E456" s="13" t="s">
        <v>411</v>
      </c>
      <c r="F456" s="13" t="s">
        <v>116</v>
      </c>
      <c r="G456" s="13" t="s">
        <v>412</v>
      </c>
      <c r="H456" s="13" t="s">
        <v>413</v>
      </c>
    </row>
    <row r="457" spans="1:8">
      <c r="A457" s="10" t="s">
        <v>166</v>
      </c>
      <c r="B457" s="11">
        <v>2021</v>
      </c>
      <c r="C457" s="10" t="s">
        <v>222</v>
      </c>
      <c r="D457" s="12">
        <v>0.57999999999999996</v>
      </c>
      <c r="E457" s="10" t="s">
        <v>411</v>
      </c>
      <c r="F457" s="10" t="s">
        <v>116</v>
      </c>
      <c r="G457" s="10" t="s">
        <v>414</v>
      </c>
      <c r="H457" s="10" t="s">
        <v>413</v>
      </c>
    </row>
    <row r="458" spans="1:8">
      <c r="A458" s="13" t="s">
        <v>167</v>
      </c>
      <c r="B458" s="14">
        <v>2021</v>
      </c>
      <c r="C458" s="13" t="s">
        <v>222</v>
      </c>
      <c r="D458" s="15">
        <v>0.83</v>
      </c>
      <c r="E458" s="13" t="s">
        <v>411</v>
      </c>
      <c r="F458" s="13" t="s">
        <v>116</v>
      </c>
      <c r="G458" s="13" t="s">
        <v>414</v>
      </c>
      <c r="H458" s="13" t="s">
        <v>413</v>
      </c>
    </row>
    <row r="459" spans="1:8">
      <c r="A459" s="10" t="s">
        <v>138</v>
      </c>
      <c r="B459" s="11">
        <v>2022</v>
      </c>
      <c r="C459" s="10" t="s">
        <v>222</v>
      </c>
      <c r="D459" s="12">
        <v>7.75</v>
      </c>
      <c r="E459" s="10" t="s">
        <v>411</v>
      </c>
      <c r="F459" s="10" t="s">
        <v>116</v>
      </c>
      <c r="G459" s="10" t="s">
        <v>412</v>
      </c>
      <c r="H459" s="10" t="s">
        <v>413</v>
      </c>
    </row>
    <row r="460" spans="1:8">
      <c r="A460" s="13" t="s">
        <v>122</v>
      </c>
      <c r="B460" s="14">
        <v>2022</v>
      </c>
      <c r="C460" s="13" t="s">
        <v>222</v>
      </c>
      <c r="D460" s="15">
        <v>5.73</v>
      </c>
      <c r="E460" s="13" t="s">
        <v>411</v>
      </c>
      <c r="F460" s="13" t="s">
        <v>116</v>
      </c>
      <c r="G460" s="13" t="s">
        <v>412</v>
      </c>
      <c r="H460" s="13" t="s">
        <v>413</v>
      </c>
    </row>
    <row r="461" spans="1:8">
      <c r="A461" s="10" t="s">
        <v>123</v>
      </c>
      <c r="B461" s="11">
        <v>2022</v>
      </c>
      <c r="C461" s="10" t="s">
        <v>222</v>
      </c>
      <c r="D461" s="12">
        <v>59.99</v>
      </c>
      <c r="E461" s="10" t="s">
        <v>411</v>
      </c>
      <c r="F461" s="10" t="s">
        <v>116</v>
      </c>
      <c r="G461" s="10" t="s">
        <v>412</v>
      </c>
      <c r="H461" s="10" t="s">
        <v>413</v>
      </c>
    </row>
    <row r="462" spans="1:8">
      <c r="A462" s="13" t="s">
        <v>164</v>
      </c>
      <c r="B462" s="14">
        <v>2022</v>
      </c>
      <c r="C462" s="13" t="s">
        <v>222</v>
      </c>
      <c r="D462" s="15">
        <v>0.13</v>
      </c>
      <c r="E462" s="13" t="s">
        <v>411</v>
      </c>
      <c r="F462" s="13" t="s">
        <v>116</v>
      </c>
      <c r="G462" s="13" t="s">
        <v>412</v>
      </c>
      <c r="H462" s="13" t="s">
        <v>413</v>
      </c>
    </row>
    <row r="463" spans="1:8">
      <c r="A463" s="10" t="s">
        <v>140</v>
      </c>
      <c r="B463" s="11">
        <v>2022</v>
      </c>
      <c r="C463" s="10" t="s">
        <v>222</v>
      </c>
      <c r="D463" s="12">
        <v>0.23</v>
      </c>
      <c r="E463" s="10" t="s">
        <v>411</v>
      </c>
      <c r="F463" s="10" t="s">
        <v>116</v>
      </c>
      <c r="G463" s="10" t="s">
        <v>412</v>
      </c>
      <c r="H463" s="10" t="s">
        <v>413</v>
      </c>
    </row>
    <row r="464" spans="1:8">
      <c r="A464" s="13" t="s">
        <v>165</v>
      </c>
      <c r="B464" s="14">
        <v>2022</v>
      </c>
      <c r="C464" s="13" t="s">
        <v>222</v>
      </c>
      <c r="D464" s="15">
        <v>7.28</v>
      </c>
      <c r="E464" s="13" t="s">
        <v>411</v>
      </c>
      <c r="F464" s="13" t="s">
        <v>116</v>
      </c>
      <c r="G464" s="13" t="s">
        <v>412</v>
      </c>
      <c r="H464" s="13" t="s">
        <v>413</v>
      </c>
    </row>
    <row r="465" spans="1:8">
      <c r="A465" s="10" t="s">
        <v>166</v>
      </c>
      <c r="B465" s="11">
        <v>2022</v>
      </c>
      <c r="C465" s="10" t="s">
        <v>222</v>
      </c>
      <c r="D465" s="12">
        <v>0.63</v>
      </c>
      <c r="E465" s="10" t="s">
        <v>411</v>
      </c>
      <c r="F465" s="10" t="s">
        <v>116</v>
      </c>
      <c r="G465" s="10" t="s">
        <v>414</v>
      </c>
      <c r="H465" s="10" t="s">
        <v>413</v>
      </c>
    </row>
    <row r="466" spans="1:8">
      <c r="A466" s="13" t="s">
        <v>167</v>
      </c>
      <c r="B466" s="14">
        <v>2022</v>
      </c>
      <c r="C466" s="13" t="s">
        <v>222</v>
      </c>
      <c r="D466" s="15">
        <v>1.02</v>
      </c>
      <c r="E466" s="13" t="s">
        <v>411</v>
      </c>
      <c r="F466" s="13" t="s">
        <v>116</v>
      </c>
      <c r="G466" s="13" t="s">
        <v>414</v>
      </c>
      <c r="H466" s="13" t="s">
        <v>413</v>
      </c>
    </row>
    <row r="467" spans="1:8">
      <c r="A467" s="10" t="s">
        <v>138</v>
      </c>
      <c r="B467" s="11">
        <v>2023</v>
      </c>
      <c r="C467" s="10" t="s">
        <v>222</v>
      </c>
      <c r="D467" s="12">
        <v>7.37</v>
      </c>
      <c r="E467" s="10" t="s">
        <v>411</v>
      </c>
      <c r="F467" s="10" t="s">
        <v>116</v>
      </c>
      <c r="G467" s="10" t="s">
        <v>412</v>
      </c>
      <c r="H467" s="10" t="s">
        <v>413</v>
      </c>
    </row>
    <row r="468" spans="1:8">
      <c r="A468" s="13" t="s">
        <v>122</v>
      </c>
      <c r="B468" s="14">
        <v>2023</v>
      </c>
      <c r="C468" s="13" t="s">
        <v>222</v>
      </c>
      <c r="D468" s="15">
        <v>3.64</v>
      </c>
      <c r="E468" s="13" t="s">
        <v>411</v>
      </c>
      <c r="F468" s="13" t="s">
        <v>116</v>
      </c>
      <c r="G468" s="13" t="s">
        <v>412</v>
      </c>
      <c r="H468" s="13" t="s">
        <v>413</v>
      </c>
    </row>
    <row r="469" spans="1:8">
      <c r="A469" s="10" t="s">
        <v>123</v>
      </c>
      <c r="B469" s="11">
        <v>2023</v>
      </c>
      <c r="C469" s="10" t="s">
        <v>222</v>
      </c>
      <c r="D469" s="12">
        <v>48.75</v>
      </c>
      <c r="E469" s="10" t="s">
        <v>411</v>
      </c>
      <c r="F469" s="10" t="s">
        <v>116</v>
      </c>
      <c r="G469" s="10" t="s">
        <v>412</v>
      </c>
      <c r="H469" s="10" t="s">
        <v>413</v>
      </c>
    </row>
    <row r="470" spans="1:8">
      <c r="A470" s="13" t="s">
        <v>164</v>
      </c>
      <c r="B470" s="14">
        <v>2023</v>
      </c>
      <c r="C470" s="13" t="s">
        <v>222</v>
      </c>
      <c r="D470" s="15">
        <v>0.13</v>
      </c>
      <c r="E470" s="13" t="s">
        <v>411</v>
      </c>
      <c r="F470" s="13" t="s">
        <v>116</v>
      </c>
      <c r="G470" s="13" t="s">
        <v>412</v>
      </c>
      <c r="H470" s="13" t="s">
        <v>413</v>
      </c>
    </row>
    <row r="471" spans="1:8">
      <c r="A471" s="10" t="s">
        <v>140</v>
      </c>
      <c r="B471" s="11">
        <v>2023</v>
      </c>
      <c r="C471" s="10" t="s">
        <v>222</v>
      </c>
      <c r="D471" s="12">
        <v>0.2</v>
      </c>
      <c r="E471" s="10" t="s">
        <v>411</v>
      </c>
      <c r="F471" s="10" t="s">
        <v>116</v>
      </c>
      <c r="G471" s="10" t="s">
        <v>412</v>
      </c>
      <c r="H471" s="10" t="s">
        <v>413</v>
      </c>
    </row>
    <row r="472" spans="1:8">
      <c r="A472" s="13" t="s">
        <v>165</v>
      </c>
      <c r="B472" s="14">
        <v>2023</v>
      </c>
      <c r="C472" s="13" t="s">
        <v>222</v>
      </c>
      <c r="D472" s="15">
        <v>7.12</v>
      </c>
      <c r="E472" s="13" t="s">
        <v>411</v>
      </c>
      <c r="F472" s="13" t="s">
        <v>116</v>
      </c>
      <c r="G472" s="13" t="s">
        <v>412</v>
      </c>
      <c r="H472" s="13" t="s">
        <v>413</v>
      </c>
    </row>
    <row r="473" spans="1:8">
      <c r="A473" s="10" t="s">
        <v>166</v>
      </c>
      <c r="B473" s="11">
        <v>2023</v>
      </c>
      <c r="C473" s="10" t="s">
        <v>222</v>
      </c>
      <c r="D473" s="12">
        <v>0.66</v>
      </c>
      <c r="E473" s="10" t="s">
        <v>411</v>
      </c>
      <c r="F473" s="10" t="s">
        <v>116</v>
      </c>
      <c r="G473" s="10" t="s">
        <v>414</v>
      </c>
      <c r="H473" s="10" t="s">
        <v>413</v>
      </c>
    </row>
    <row r="474" spans="1:8">
      <c r="A474" s="13" t="s">
        <v>167</v>
      </c>
      <c r="B474" s="14">
        <v>2023</v>
      </c>
      <c r="C474" s="13" t="s">
        <v>222</v>
      </c>
      <c r="D474" s="15">
        <v>1.05</v>
      </c>
      <c r="E474" s="13" t="s">
        <v>411</v>
      </c>
      <c r="F474" s="13" t="s">
        <v>116</v>
      </c>
      <c r="G474" s="13" t="s">
        <v>414</v>
      </c>
      <c r="H474" s="13" t="s">
        <v>413</v>
      </c>
    </row>
    <row r="475" spans="1:8">
      <c r="A475" s="10" t="s">
        <v>138</v>
      </c>
      <c r="B475" s="11">
        <v>2024</v>
      </c>
      <c r="C475" s="10" t="s">
        <v>222</v>
      </c>
      <c r="D475" s="12">
        <v>8.67</v>
      </c>
      <c r="E475" s="10" t="s">
        <v>411</v>
      </c>
      <c r="F475" s="10" t="s">
        <v>116</v>
      </c>
      <c r="G475" s="10" t="s">
        <v>412</v>
      </c>
      <c r="H475" s="10" t="s">
        <v>413</v>
      </c>
    </row>
    <row r="476" spans="1:8">
      <c r="A476" s="13" t="s">
        <v>122</v>
      </c>
      <c r="B476" s="14">
        <v>2024</v>
      </c>
      <c r="C476" s="13" t="s">
        <v>222</v>
      </c>
      <c r="D476" s="15">
        <v>1.83</v>
      </c>
      <c r="E476" s="13" t="s">
        <v>411</v>
      </c>
      <c r="F476" s="13" t="s">
        <v>116</v>
      </c>
      <c r="G476" s="13" t="s">
        <v>412</v>
      </c>
      <c r="H476" s="13" t="s">
        <v>413</v>
      </c>
    </row>
    <row r="477" spans="1:8">
      <c r="A477" s="10" t="s">
        <v>123</v>
      </c>
      <c r="B477" s="11">
        <v>2024</v>
      </c>
      <c r="C477" s="10" t="s">
        <v>222</v>
      </c>
      <c r="D477" s="12">
        <v>41.38</v>
      </c>
      <c r="E477" s="10" t="s">
        <v>411</v>
      </c>
      <c r="F477" s="10" t="s">
        <v>116</v>
      </c>
      <c r="G477" s="10" t="s">
        <v>412</v>
      </c>
      <c r="H477" s="10" t="s">
        <v>413</v>
      </c>
    </row>
    <row r="478" spans="1:8">
      <c r="A478" s="13" t="s">
        <v>164</v>
      </c>
      <c r="B478" s="14">
        <v>2024</v>
      </c>
      <c r="C478" s="13" t="s">
        <v>222</v>
      </c>
      <c r="D478" s="15">
        <v>0.14000000000000001</v>
      </c>
      <c r="E478" s="13" t="s">
        <v>411</v>
      </c>
      <c r="F478" s="13" t="s">
        <v>116</v>
      </c>
      <c r="G478" s="13" t="s">
        <v>412</v>
      </c>
      <c r="H478" s="13" t="s">
        <v>413</v>
      </c>
    </row>
    <row r="479" spans="1:8">
      <c r="A479" s="10" t="s">
        <v>140</v>
      </c>
      <c r="B479" s="11">
        <v>2024</v>
      </c>
      <c r="C479" s="10" t="s">
        <v>222</v>
      </c>
      <c r="D479" s="12">
        <v>0.2</v>
      </c>
      <c r="E479" s="10" t="s">
        <v>411</v>
      </c>
      <c r="F479" s="10" t="s">
        <v>116</v>
      </c>
      <c r="G479" s="10" t="s">
        <v>412</v>
      </c>
      <c r="H479" s="10" t="s">
        <v>413</v>
      </c>
    </row>
    <row r="480" spans="1:8">
      <c r="A480" s="13" t="s">
        <v>165</v>
      </c>
      <c r="B480" s="14">
        <v>2024</v>
      </c>
      <c r="C480" s="13" t="s">
        <v>222</v>
      </c>
      <c r="D480" s="15">
        <v>7.53</v>
      </c>
      <c r="E480" s="13" t="s">
        <v>411</v>
      </c>
      <c r="F480" s="13" t="s">
        <v>116</v>
      </c>
      <c r="G480" s="13" t="s">
        <v>412</v>
      </c>
      <c r="H480" s="13" t="s">
        <v>413</v>
      </c>
    </row>
    <row r="481" spans="1:8">
      <c r="A481" s="10" t="s">
        <v>166</v>
      </c>
      <c r="B481" s="11">
        <v>2024</v>
      </c>
      <c r="C481" s="10" t="s">
        <v>222</v>
      </c>
      <c r="D481" s="12">
        <v>0.7</v>
      </c>
      <c r="E481" s="10" t="s">
        <v>411</v>
      </c>
      <c r="F481" s="10" t="s">
        <v>116</v>
      </c>
      <c r="G481" s="10" t="s">
        <v>414</v>
      </c>
      <c r="H481" s="10" t="s">
        <v>413</v>
      </c>
    </row>
    <row r="482" spans="1:8">
      <c r="A482" s="13" t="s">
        <v>167</v>
      </c>
      <c r="B482" s="14">
        <v>2024</v>
      </c>
      <c r="C482" s="13" t="s">
        <v>222</v>
      </c>
      <c r="D482" s="15">
        <v>1.07</v>
      </c>
      <c r="E482" s="13" t="s">
        <v>411</v>
      </c>
      <c r="F482" s="13" t="s">
        <v>116</v>
      </c>
      <c r="G482" s="13" t="s">
        <v>414</v>
      </c>
      <c r="H482" s="13" t="s">
        <v>413</v>
      </c>
    </row>
    <row r="483" spans="1:8">
      <c r="A483" s="10" t="s">
        <v>138</v>
      </c>
      <c r="B483" s="11">
        <v>2025</v>
      </c>
      <c r="C483" s="10" t="s">
        <v>222</v>
      </c>
      <c r="D483" s="12">
        <v>8.91</v>
      </c>
      <c r="E483" s="10" t="s">
        <v>411</v>
      </c>
      <c r="F483" s="10" t="s">
        <v>116</v>
      </c>
      <c r="G483" s="10" t="s">
        <v>412</v>
      </c>
      <c r="H483" s="10" t="s">
        <v>413</v>
      </c>
    </row>
    <row r="484" spans="1:8">
      <c r="A484" s="13" t="s">
        <v>122</v>
      </c>
      <c r="B484" s="14">
        <v>2025</v>
      </c>
      <c r="C484" s="13" t="s">
        <v>222</v>
      </c>
      <c r="D484" s="15">
        <v>0.32</v>
      </c>
      <c r="E484" s="13" t="s">
        <v>411</v>
      </c>
      <c r="F484" s="13" t="s">
        <v>116</v>
      </c>
      <c r="G484" s="13" t="s">
        <v>412</v>
      </c>
      <c r="H484" s="13" t="s">
        <v>413</v>
      </c>
    </row>
    <row r="485" spans="1:8">
      <c r="A485" s="10" t="s">
        <v>123</v>
      </c>
      <c r="B485" s="11">
        <v>2025</v>
      </c>
      <c r="C485" s="10" t="s">
        <v>222</v>
      </c>
      <c r="D485" s="12">
        <v>43.59</v>
      </c>
      <c r="E485" s="10" t="s">
        <v>411</v>
      </c>
      <c r="F485" s="10" t="s">
        <v>116</v>
      </c>
      <c r="G485" s="10" t="s">
        <v>412</v>
      </c>
      <c r="H485" s="10" t="s">
        <v>413</v>
      </c>
    </row>
    <row r="486" spans="1:8">
      <c r="A486" s="13" t="s">
        <v>164</v>
      </c>
      <c r="B486" s="14">
        <v>2025</v>
      </c>
      <c r="C486" s="13" t="s">
        <v>222</v>
      </c>
      <c r="D486" s="15">
        <v>0.13</v>
      </c>
      <c r="E486" s="13" t="s">
        <v>411</v>
      </c>
      <c r="F486" s="13" t="s">
        <v>116</v>
      </c>
      <c r="G486" s="13" t="s">
        <v>412</v>
      </c>
      <c r="H486" s="13" t="s">
        <v>413</v>
      </c>
    </row>
    <row r="487" spans="1:8">
      <c r="A487" s="10" t="s">
        <v>140</v>
      </c>
      <c r="B487" s="11">
        <v>2025</v>
      </c>
      <c r="C487" s="10" t="s">
        <v>222</v>
      </c>
      <c r="D487" s="12">
        <v>0.18</v>
      </c>
      <c r="E487" s="10" t="s">
        <v>411</v>
      </c>
      <c r="F487" s="10" t="s">
        <v>116</v>
      </c>
      <c r="G487" s="10" t="s">
        <v>412</v>
      </c>
      <c r="H487" s="10" t="s">
        <v>413</v>
      </c>
    </row>
    <row r="488" spans="1:8">
      <c r="A488" s="13" t="s">
        <v>165</v>
      </c>
      <c r="B488" s="14">
        <v>2025</v>
      </c>
      <c r="C488" s="13" t="s">
        <v>222</v>
      </c>
      <c r="D488" s="15">
        <v>8.4</v>
      </c>
      <c r="E488" s="13" t="s">
        <v>411</v>
      </c>
      <c r="F488" s="13" t="s">
        <v>116</v>
      </c>
      <c r="G488" s="13" t="s">
        <v>412</v>
      </c>
      <c r="H488" s="13" t="s">
        <v>413</v>
      </c>
    </row>
    <row r="489" spans="1:8">
      <c r="A489" s="10" t="s">
        <v>166</v>
      </c>
      <c r="B489" s="11">
        <v>2025</v>
      </c>
      <c r="C489" s="10" t="s">
        <v>222</v>
      </c>
      <c r="D489" s="12">
        <v>0.92</v>
      </c>
      <c r="E489" s="10" t="s">
        <v>411</v>
      </c>
      <c r="F489" s="10" t="s">
        <v>116</v>
      </c>
      <c r="G489" s="10" t="s">
        <v>414</v>
      </c>
      <c r="H489" s="10" t="s">
        <v>413</v>
      </c>
    </row>
    <row r="490" spans="1:8">
      <c r="A490" s="13" t="s">
        <v>167</v>
      </c>
      <c r="B490" s="14">
        <v>2025</v>
      </c>
      <c r="C490" s="13" t="s">
        <v>222</v>
      </c>
      <c r="D490" s="15">
        <v>1.1000000000000001</v>
      </c>
      <c r="E490" s="13" t="s">
        <v>411</v>
      </c>
      <c r="F490" s="13" t="s">
        <v>116</v>
      </c>
      <c r="G490" s="13" t="s">
        <v>414</v>
      </c>
      <c r="H490" s="13" t="s">
        <v>413</v>
      </c>
    </row>
    <row r="491" spans="1:8">
      <c r="A491" s="10" t="s">
        <v>166</v>
      </c>
      <c r="B491" s="11">
        <v>2000</v>
      </c>
      <c r="C491" s="10" t="s">
        <v>7</v>
      </c>
      <c r="D491" s="12">
        <v>2E-3</v>
      </c>
      <c r="E491" s="10" t="s">
        <v>411</v>
      </c>
      <c r="F491" s="10" t="s">
        <v>63</v>
      </c>
      <c r="G491" s="10" t="s">
        <v>414</v>
      </c>
      <c r="H491" s="10" t="s">
        <v>413</v>
      </c>
    </row>
    <row r="492" spans="1:8">
      <c r="A492" s="13" t="s">
        <v>166</v>
      </c>
      <c r="B492" s="14">
        <v>2001</v>
      </c>
      <c r="C492" s="13" t="s">
        <v>7</v>
      </c>
      <c r="D492" s="15">
        <v>3.0000000000000001E-3</v>
      </c>
      <c r="E492" s="13" t="s">
        <v>411</v>
      </c>
      <c r="F492" s="13" t="s">
        <v>63</v>
      </c>
      <c r="G492" s="13" t="s">
        <v>414</v>
      </c>
      <c r="H492" s="13" t="s">
        <v>413</v>
      </c>
    </row>
    <row r="493" spans="1:8">
      <c r="A493" s="10" t="s">
        <v>166</v>
      </c>
      <c r="B493" s="11">
        <v>2002</v>
      </c>
      <c r="C493" s="10" t="s">
        <v>7</v>
      </c>
      <c r="D493" s="12">
        <v>4.0000000000000001E-3</v>
      </c>
      <c r="E493" s="10" t="s">
        <v>411</v>
      </c>
      <c r="F493" s="10" t="s">
        <v>63</v>
      </c>
      <c r="G493" s="10" t="s">
        <v>414</v>
      </c>
      <c r="H493" s="10" t="s">
        <v>413</v>
      </c>
    </row>
    <row r="494" spans="1:8">
      <c r="A494" s="13" t="s">
        <v>166</v>
      </c>
      <c r="B494" s="14">
        <v>2003</v>
      </c>
      <c r="C494" s="13" t="s">
        <v>7</v>
      </c>
      <c r="D494" s="15">
        <v>6.0000000000000001E-3</v>
      </c>
      <c r="E494" s="13" t="s">
        <v>411</v>
      </c>
      <c r="F494" s="13" t="s">
        <v>63</v>
      </c>
      <c r="G494" s="13" t="s">
        <v>414</v>
      </c>
      <c r="H494" s="13" t="s">
        <v>413</v>
      </c>
    </row>
    <row r="495" spans="1:8">
      <c r="A495" s="10" t="s">
        <v>166</v>
      </c>
      <c r="B495" s="11">
        <v>2004</v>
      </c>
      <c r="C495" s="10" t="s">
        <v>7</v>
      </c>
      <c r="D495" s="12">
        <v>8.0000000000000002E-3</v>
      </c>
      <c r="E495" s="10" t="s">
        <v>411</v>
      </c>
      <c r="F495" s="10" t="s">
        <v>63</v>
      </c>
      <c r="G495" s="10" t="s">
        <v>414</v>
      </c>
      <c r="H495" s="10" t="s">
        <v>413</v>
      </c>
    </row>
    <row r="496" spans="1:8">
      <c r="A496" s="13" t="s">
        <v>166</v>
      </c>
      <c r="B496" s="14">
        <v>2005</v>
      </c>
      <c r="C496" s="13" t="s">
        <v>7</v>
      </c>
      <c r="D496" s="15">
        <v>1.0999999999999999E-2</v>
      </c>
      <c r="E496" s="13" t="s">
        <v>411</v>
      </c>
      <c r="F496" s="13" t="s">
        <v>63</v>
      </c>
      <c r="G496" s="13" t="s">
        <v>414</v>
      </c>
      <c r="H496" s="13" t="s">
        <v>413</v>
      </c>
    </row>
    <row r="497" spans="1:8">
      <c r="A497" s="10" t="s">
        <v>166</v>
      </c>
      <c r="B497" s="11">
        <v>2006</v>
      </c>
      <c r="C497" s="10" t="s">
        <v>7</v>
      </c>
      <c r="D497" s="12">
        <v>1.4E-2</v>
      </c>
      <c r="E497" s="10" t="s">
        <v>411</v>
      </c>
      <c r="F497" s="10" t="s">
        <v>63</v>
      </c>
      <c r="G497" s="10" t="s">
        <v>414</v>
      </c>
      <c r="H497" s="10" t="s">
        <v>413</v>
      </c>
    </row>
    <row r="498" spans="1:8">
      <c r="A498" s="13" t="s">
        <v>166</v>
      </c>
      <c r="B498" s="14">
        <v>2007</v>
      </c>
      <c r="C498" s="13" t="s">
        <v>7</v>
      </c>
      <c r="D498" s="15">
        <v>1.7999999999999999E-2</v>
      </c>
      <c r="E498" s="13" t="s">
        <v>411</v>
      </c>
      <c r="F498" s="13" t="s">
        <v>63</v>
      </c>
      <c r="G498" s="13" t="s">
        <v>414</v>
      </c>
      <c r="H498" s="13" t="s">
        <v>413</v>
      </c>
    </row>
    <row r="499" spans="1:8">
      <c r="A499" s="10" t="s">
        <v>166</v>
      </c>
      <c r="B499" s="11">
        <v>2008</v>
      </c>
      <c r="C499" s="10" t="s">
        <v>7</v>
      </c>
      <c r="D499" s="12">
        <v>2.3E-2</v>
      </c>
      <c r="E499" s="10" t="s">
        <v>411</v>
      </c>
      <c r="F499" s="10" t="s">
        <v>63</v>
      </c>
      <c r="G499" s="10" t="s">
        <v>414</v>
      </c>
      <c r="H499" s="10" t="s">
        <v>413</v>
      </c>
    </row>
    <row r="500" spans="1:8">
      <c r="A500" s="13" t="s">
        <v>166</v>
      </c>
      <c r="B500" s="14">
        <v>2009</v>
      </c>
      <c r="C500" s="13" t="s">
        <v>7</v>
      </c>
      <c r="D500" s="15">
        <v>2.7E-2</v>
      </c>
      <c r="E500" s="13" t="s">
        <v>411</v>
      </c>
      <c r="F500" s="13" t="s">
        <v>63</v>
      </c>
      <c r="G500" s="13" t="s">
        <v>414</v>
      </c>
      <c r="H500" s="13" t="s">
        <v>413</v>
      </c>
    </row>
    <row r="501" spans="1:8">
      <c r="A501" s="10" t="s">
        <v>166</v>
      </c>
      <c r="B501" s="11">
        <v>2010</v>
      </c>
      <c r="C501" s="10" t="s">
        <v>7</v>
      </c>
      <c r="D501" s="12">
        <v>9.5000000000000001E-2</v>
      </c>
      <c r="E501" s="10" t="s">
        <v>411</v>
      </c>
      <c r="F501" s="10" t="s">
        <v>63</v>
      </c>
      <c r="G501" s="10" t="s">
        <v>414</v>
      </c>
      <c r="H501" s="10" t="s">
        <v>413</v>
      </c>
    </row>
    <row r="502" spans="1:8">
      <c r="A502" s="13" t="s">
        <v>166</v>
      </c>
      <c r="B502" s="14">
        <v>2011</v>
      </c>
      <c r="C502" s="13" t="s">
        <v>7</v>
      </c>
      <c r="D502" s="15">
        <v>1</v>
      </c>
      <c r="E502" s="13" t="s">
        <v>411</v>
      </c>
      <c r="F502" s="13" t="s">
        <v>63</v>
      </c>
      <c r="G502" s="13" t="s">
        <v>414</v>
      </c>
      <c r="H502" s="13" t="s">
        <v>413</v>
      </c>
    </row>
    <row r="503" spans="1:8">
      <c r="A503" s="10" t="s">
        <v>166</v>
      </c>
      <c r="B503" s="11">
        <v>2012</v>
      </c>
      <c r="C503" s="10" t="s">
        <v>7</v>
      </c>
      <c r="D503" s="12">
        <v>1.7529999999999999</v>
      </c>
      <c r="E503" s="10" t="s">
        <v>411</v>
      </c>
      <c r="F503" s="10" t="s">
        <v>63</v>
      </c>
      <c r="G503" s="10" t="s">
        <v>414</v>
      </c>
      <c r="H503" s="10" t="s">
        <v>413</v>
      </c>
    </row>
    <row r="504" spans="1:8">
      <c r="A504" s="13" t="s">
        <v>166</v>
      </c>
      <c r="B504" s="14">
        <v>2013</v>
      </c>
      <c r="C504" s="13" t="s">
        <v>7</v>
      </c>
      <c r="D504" s="15">
        <v>2.9369999999999998</v>
      </c>
      <c r="E504" s="13" t="s">
        <v>411</v>
      </c>
      <c r="F504" s="13" t="s">
        <v>63</v>
      </c>
      <c r="G504" s="13" t="s">
        <v>414</v>
      </c>
      <c r="H504" s="13" t="s">
        <v>413</v>
      </c>
    </row>
    <row r="505" spans="1:8">
      <c r="A505" s="10" t="s">
        <v>166</v>
      </c>
      <c r="B505" s="11">
        <v>2014</v>
      </c>
      <c r="C505" s="10" t="s">
        <v>7</v>
      </c>
      <c r="D505" s="12">
        <v>5.5279999999999996</v>
      </c>
      <c r="E505" s="10" t="s">
        <v>411</v>
      </c>
      <c r="F505" s="10" t="s">
        <v>63</v>
      </c>
      <c r="G505" s="10" t="s">
        <v>414</v>
      </c>
      <c r="H505" s="10" t="s">
        <v>413</v>
      </c>
    </row>
    <row r="506" spans="1:8">
      <c r="A506" s="13" t="s">
        <v>166</v>
      </c>
      <c r="B506" s="14">
        <v>2015</v>
      </c>
      <c r="C506" s="13" t="s">
        <v>7</v>
      </c>
      <c r="D506" s="15">
        <v>9.6010000000000009</v>
      </c>
      <c r="E506" s="13" t="s">
        <v>411</v>
      </c>
      <c r="F506" s="13" t="s">
        <v>63</v>
      </c>
      <c r="G506" s="13" t="s">
        <v>414</v>
      </c>
      <c r="H506" s="13" t="s">
        <v>413</v>
      </c>
    </row>
    <row r="507" spans="1:8">
      <c r="A507" s="10" t="s">
        <v>166</v>
      </c>
      <c r="B507" s="11">
        <v>2016</v>
      </c>
      <c r="C507" s="10" t="s">
        <v>7</v>
      </c>
      <c r="D507" s="12">
        <v>11.914</v>
      </c>
      <c r="E507" s="10" t="s">
        <v>411</v>
      </c>
      <c r="F507" s="10" t="s">
        <v>63</v>
      </c>
      <c r="G507" s="10" t="s">
        <v>414</v>
      </c>
      <c r="H507" s="10" t="s">
        <v>413</v>
      </c>
    </row>
    <row r="508" spans="1:8">
      <c r="A508" s="13" t="s">
        <v>166</v>
      </c>
      <c r="B508" s="14">
        <v>2017</v>
      </c>
      <c r="C508" s="13" t="s">
        <v>7</v>
      </c>
      <c r="D508" s="15">
        <v>12.750959999999999</v>
      </c>
      <c r="E508" s="13" t="s">
        <v>411</v>
      </c>
      <c r="F508" s="13" t="s">
        <v>63</v>
      </c>
      <c r="G508" s="13" t="s">
        <v>414</v>
      </c>
      <c r="H508" s="13" t="s">
        <v>413</v>
      </c>
    </row>
    <row r="509" spans="1:8">
      <c r="A509" s="10" t="s">
        <v>166</v>
      </c>
      <c r="B509" s="11">
        <v>2018</v>
      </c>
      <c r="C509" s="10" t="s">
        <v>7</v>
      </c>
      <c r="D509" s="12">
        <v>13.06</v>
      </c>
      <c r="E509" s="10" t="s">
        <v>411</v>
      </c>
      <c r="F509" s="10" t="s">
        <v>63</v>
      </c>
      <c r="G509" s="10" t="s">
        <v>414</v>
      </c>
      <c r="H509" s="10" t="s">
        <v>413</v>
      </c>
    </row>
    <row r="510" spans="1:8">
      <c r="A510" s="13" t="s">
        <v>166</v>
      </c>
      <c r="B510" s="14">
        <v>2019</v>
      </c>
      <c r="C510" s="13" t="s">
        <v>7</v>
      </c>
      <c r="D510" s="15">
        <v>13.345000000000001</v>
      </c>
      <c r="E510" s="13" t="s">
        <v>411</v>
      </c>
      <c r="F510" s="13" t="s">
        <v>63</v>
      </c>
      <c r="G510" s="13" t="s">
        <v>414</v>
      </c>
      <c r="H510" s="13" t="s">
        <v>413</v>
      </c>
    </row>
    <row r="511" spans="1:8">
      <c r="A511" s="10" t="s">
        <v>166</v>
      </c>
      <c r="B511" s="11">
        <v>2020</v>
      </c>
      <c r="C511" s="10" t="s">
        <v>7</v>
      </c>
      <c r="D511" s="12">
        <v>13.870338</v>
      </c>
      <c r="E511" s="10" t="s">
        <v>411</v>
      </c>
      <c r="F511" s="10" t="s">
        <v>63</v>
      </c>
      <c r="G511" s="10" t="s">
        <v>414</v>
      </c>
      <c r="H511" s="10" t="s">
        <v>413</v>
      </c>
    </row>
    <row r="512" spans="1:8">
      <c r="A512" s="13" t="s">
        <v>166</v>
      </c>
      <c r="B512" s="14">
        <v>2021</v>
      </c>
      <c r="C512" s="13" t="s">
        <v>7</v>
      </c>
      <c r="D512" s="15">
        <v>14.260909999999999</v>
      </c>
      <c r="E512" s="13" t="s">
        <v>411</v>
      </c>
      <c r="F512" s="13" t="s">
        <v>63</v>
      </c>
      <c r="G512" s="13" t="s">
        <v>414</v>
      </c>
      <c r="H512" s="13" t="s">
        <v>413</v>
      </c>
    </row>
    <row r="513" spans="1:8">
      <c r="A513" s="10" t="s">
        <v>166</v>
      </c>
      <c r="B513" s="11">
        <v>2022</v>
      </c>
      <c r="C513" s="10" t="s">
        <v>7</v>
      </c>
      <c r="D513" s="12">
        <v>14.980769</v>
      </c>
      <c r="E513" s="10" t="s">
        <v>411</v>
      </c>
      <c r="F513" s="10" t="s">
        <v>63</v>
      </c>
      <c r="G513" s="10" t="s">
        <v>414</v>
      </c>
      <c r="H513" s="10" t="s">
        <v>413</v>
      </c>
    </row>
    <row r="514" spans="1:8">
      <c r="A514" s="13" t="s">
        <v>166</v>
      </c>
      <c r="B514" s="14">
        <v>2023</v>
      </c>
      <c r="C514" s="13" t="s">
        <v>7</v>
      </c>
      <c r="D514" s="15">
        <v>16.275263000000002</v>
      </c>
      <c r="E514" s="13" t="s">
        <v>411</v>
      </c>
      <c r="F514" s="13" t="s">
        <v>63</v>
      </c>
      <c r="G514" s="13" t="s">
        <v>414</v>
      </c>
      <c r="H514" s="13" t="s">
        <v>413</v>
      </c>
    </row>
    <row r="515" spans="1:8">
      <c r="A515" s="10" t="s">
        <v>166</v>
      </c>
      <c r="B515" s="11">
        <v>2024</v>
      </c>
      <c r="C515" s="10" t="s">
        <v>7</v>
      </c>
      <c r="D515" s="12">
        <v>17.881293000000003</v>
      </c>
      <c r="E515" s="10" t="s">
        <v>411</v>
      </c>
      <c r="F515" s="10" t="s">
        <v>63</v>
      </c>
      <c r="G515" s="10" t="s">
        <v>414</v>
      </c>
      <c r="H515" s="10" t="s">
        <v>413</v>
      </c>
    </row>
    <row r="516" spans="1:8">
      <c r="A516" s="13" t="s">
        <v>166</v>
      </c>
      <c r="B516" s="14">
        <v>2000</v>
      </c>
      <c r="C516" s="13" t="s">
        <v>135</v>
      </c>
      <c r="D516" s="15">
        <v>1E-3</v>
      </c>
      <c r="E516" s="13" t="s">
        <v>411</v>
      </c>
      <c r="F516" s="13" t="s">
        <v>73</v>
      </c>
      <c r="G516" s="13" t="s">
        <v>414</v>
      </c>
      <c r="H516" s="13" t="s">
        <v>413</v>
      </c>
    </row>
    <row r="517" spans="1:8">
      <c r="A517" s="10" t="s">
        <v>166</v>
      </c>
      <c r="B517" s="11">
        <v>2001</v>
      </c>
      <c r="C517" s="10" t="s">
        <v>135</v>
      </c>
      <c r="D517" s="12">
        <v>2E-3</v>
      </c>
      <c r="E517" s="10" t="s">
        <v>411</v>
      </c>
      <c r="F517" s="10" t="s">
        <v>73</v>
      </c>
      <c r="G517" s="10" t="s">
        <v>414</v>
      </c>
      <c r="H517" s="10" t="s">
        <v>413</v>
      </c>
    </row>
    <row r="518" spans="1:8">
      <c r="A518" s="13" t="s">
        <v>166</v>
      </c>
      <c r="B518" s="14">
        <v>2002</v>
      </c>
      <c r="C518" s="13" t="s">
        <v>135</v>
      </c>
      <c r="D518" s="15">
        <v>3.0000000000000001E-3</v>
      </c>
      <c r="E518" s="13" t="s">
        <v>411</v>
      </c>
      <c r="F518" s="13" t="s">
        <v>73</v>
      </c>
      <c r="G518" s="13" t="s">
        <v>414</v>
      </c>
      <c r="H518" s="13" t="s">
        <v>413</v>
      </c>
    </row>
    <row r="519" spans="1:8">
      <c r="A519" s="10" t="s">
        <v>166</v>
      </c>
      <c r="B519" s="11">
        <v>2003</v>
      </c>
      <c r="C519" s="10" t="s">
        <v>135</v>
      </c>
      <c r="D519" s="12">
        <v>3.0000000000000001E-3</v>
      </c>
      <c r="E519" s="10" t="s">
        <v>411</v>
      </c>
      <c r="F519" s="10" t="s">
        <v>73</v>
      </c>
      <c r="G519" s="10" t="s">
        <v>414</v>
      </c>
      <c r="H519" s="10" t="s">
        <v>413</v>
      </c>
    </row>
    <row r="520" spans="1:8">
      <c r="A520" s="13" t="s">
        <v>166</v>
      </c>
      <c r="B520" s="14">
        <v>2004</v>
      </c>
      <c r="C520" s="13" t="s">
        <v>135</v>
      </c>
      <c r="D520" s="15">
        <v>4.0000000000000001E-3</v>
      </c>
      <c r="E520" s="13" t="s">
        <v>411</v>
      </c>
      <c r="F520" s="13" t="s">
        <v>73</v>
      </c>
      <c r="G520" s="13" t="s">
        <v>414</v>
      </c>
      <c r="H520" s="13" t="s">
        <v>413</v>
      </c>
    </row>
    <row r="521" spans="1:8">
      <c r="A521" s="10" t="s">
        <v>166</v>
      </c>
      <c r="B521" s="11">
        <v>2005</v>
      </c>
      <c r="C521" s="10" t="s">
        <v>135</v>
      </c>
      <c r="D521" s="12">
        <v>8.0000000000000002E-3</v>
      </c>
      <c r="E521" s="10" t="s">
        <v>411</v>
      </c>
      <c r="F521" s="10" t="s">
        <v>73</v>
      </c>
      <c r="G521" s="10" t="s">
        <v>414</v>
      </c>
      <c r="H521" s="10" t="s">
        <v>413</v>
      </c>
    </row>
    <row r="522" spans="1:8">
      <c r="A522" s="13" t="s">
        <v>166</v>
      </c>
      <c r="B522" s="14">
        <v>2006</v>
      </c>
      <c r="C522" s="13" t="s">
        <v>135</v>
      </c>
      <c r="D522" s="15">
        <v>1.0999999999999999E-2</v>
      </c>
      <c r="E522" s="13" t="s">
        <v>411</v>
      </c>
      <c r="F522" s="13" t="s">
        <v>73</v>
      </c>
      <c r="G522" s="13" t="s">
        <v>414</v>
      </c>
      <c r="H522" s="13" t="s">
        <v>413</v>
      </c>
    </row>
    <row r="523" spans="1:8">
      <c r="A523" s="10" t="s">
        <v>166</v>
      </c>
      <c r="B523" s="11">
        <v>2007</v>
      </c>
      <c r="C523" s="10" t="s">
        <v>135</v>
      </c>
      <c r="D523" s="12">
        <v>1.4E-2</v>
      </c>
      <c r="E523" s="10" t="s">
        <v>411</v>
      </c>
      <c r="F523" s="10" t="s">
        <v>73</v>
      </c>
      <c r="G523" s="10" t="s">
        <v>414</v>
      </c>
      <c r="H523" s="10" t="s">
        <v>413</v>
      </c>
    </row>
    <row r="524" spans="1:8">
      <c r="A524" s="13" t="s">
        <v>166</v>
      </c>
      <c r="B524" s="14">
        <v>2008</v>
      </c>
      <c r="C524" s="13" t="s">
        <v>135</v>
      </c>
      <c r="D524" s="15">
        <v>1.7000000000000001E-2</v>
      </c>
      <c r="E524" s="13" t="s">
        <v>411</v>
      </c>
      <c r="F524" s="13" t="s">
        <v>73</v>
      </c>
      <c r="G524" s="13" t="s">
        <v>414</v>
      </c>
      <c r="H524" s="13" t="s">
        <v>413</v>
      </c>
    </row>
    <row r="525" spans="1:8">
      <c r="A525" s="10" t="s">
        <v>166</v>
      </c>
      <c r="B525" s="11">
        <v>2009</v>
      </c>
      <c r="C525" s="10" t="s">
        <v>135</v>
      </c>
      <c r="D525" s="12">
        <v>0.02</v>
      </c>
      <c r="E525" s="10" t="s">
        <v>411</v>
      </c>
      <c r="F525" s="10" t="s">
        <v>73</v>
      </c>
      <c r="G525" s="10" t="s">
        <v>414</v>
      </c>
      <c r="H525" s="10" t="s">
        <v>413</v>
      </c>
    </row>
    <row r="526" spans="1:8">
      <c r="A526" s="13" t="s">
        <v>166</v>
      </c>
      <c r="B526" s="14">
        <v>2010</v>
      </c>
      <c r="C526" s="13" t="s">
        <v>135</v>
      </c>
      <c r="D526" s="15">
        <v>0.04</v>
      </c>
      <c r="E526" s="13" t="s">
        <v>411</v>
      </c>
      <c r="F526" s="13" t="s">
        <v>73</v>
      </c>
      <c r="G526" s="13" t="s">
        <v>414</v>
      </c>
      <c r="H526" s="13" t="s">
        <v>413</v>
      </c>
    </row>
    <row r="527" spans="1:8">
      <c r="A527" s="10" t="s">
        <v>166</v>
      </c>
      <c r="B527" s="11">
        <v>2011</v>
      </c>
      <c r="C527" s="10" t="s">
        <v>135</v>
      </c>
      <c r="D527" s="12">
        <v>0.24399999999999999</v>
      </c>
      <c r="E527" s="10" t="s">
        <v>411</v>
      </c>
      <c r="F527" s="10" t="s">
        <v>73</v>
      </c>
      <c r="G527" s="10" t="s">
        <v>414</v>
      </c>
      <c r="H527" s="10" t="s">
        <v>413</v>
      </c>
    </row>
    <row r="528" spans="1:8">
      <c r="A528" s="13" t="s">
        <v>166</v>
      </c>
      <c r="B528" s="14">
        <v>2012</v>
      </c>
      <c r="C528" s="13" t="s">
        <v>135</v>
      </c>
      <c r="D528" s="15">
        <v>1.3540000000000001</v>
      </c>
      <c r="E528" s="13" t="s">
        <v>411</v>
      </c>
      <c r="F528" s="13" t="s">
        <v>73</v>
      </c>
      <c r="G528" s="13" t="s">
        <v>414</v>
      </c>
      <c r="H528" s="13" t="s">
        <v>413</v>
      </c>
    </row>
    <row r="529" spans="1:8">
      <c r="A529" s="10" t="s">
        <v>166</v>
      </c>
      <c r="B529" s="11">
        <v>2013</v>
      </c>
      <c r="C529" s="10" t="s">
        <v>135</v>
      </c>
      <c r="D529" s="12">
        <v>2.0099999999999998</v>
      </c>
      <c r="E529" s="10" t="s">
        <v>411</v>
      </c>
      <c r="F529" s="10" t="s">
        <v>73</v>
      </c>
      <c r="G529" s="10" t="s">
        <v>414</v>
      </c>
      <c r="H529" s="10" t="s">
        <v>413</v>
      </c>
    </row>
    <row r="530" spans="1:8">
      <c r="A530" s="13" t="s">
        <v>166</v>
      </c>
      <c r="B530" s="14">
        <v>2014</v>
      </c>
      <c r="C530" s="13" t="s">
        <v>135</v>
      </c>
      <c r="D530" s="15">
        <v>4.0540000000000003</v>
      </c>
      <c r="E530" s="13" t="s">
        <v>411</v>
      </c>
      <c r="F530" s="13" t="s">
        <v>73</v>
      </c>
      <c r="G530" s="13" t="s">
        <v>414</v>
      </c>
      <c r="H530" s="13" t="s">
        <v>413</v>
      </c>
    </row>
    <row r="531" spans="1:8">
      <c r="A531" s="10" t="s">
        <v>166</v>
      </c>
      <c r="B531" s="11">
        <v>2015</v>
      </c>
      <c r="C531" s="10" t="s">
        <v>135</v>
      </c>
      <c r="D531" s="12">
        <v>7.5330000000000004</v>
      </c>
      <c r="E531" s="10" t="s">
        <v>411</v>
      </c>
      <c r="F531" s="10" t="s">
        <v>73</v>
      </c>
      <c r="G531" s="10" t="s">
        <v>414</v>
      </c>
      <c r="H531" s="10" t="s">
        <v>413</v>
      </c>
    </row>
    <row r="532" spans="1:8">
      <c r="A532" s="13" t="s">
        <v>166</v>
      </c>
      <c r="B532" s="14">
        <v>2016</v>
      </c>
      <c r="C532" s="13" t="s">
        <v>135</v>
      </c>
      <c r="D532" s="15">
        <v>10.395</v>
      </c>
      <c r="E532" s="13" t="s">
        <v>411</v>
      </c>
      <c r="F532" s="13" t="s">
        <v>73</v>
      </c>
      <c r="G532" s="13" t="s">
        <v>414</v>
      </c>
      <c r="H532" s="13" t="s">
        <v>413</v>
      </c>
    </row>
    <row r="533" spans="1:8">
      <c r="A533" s="10" t="s">
        <v>166</v>
      </c>
      <c r="B533" s="11">
        <v>2017</v>
      </c>
      <c r="C533" s="10" t="s">
        <v>135</v>
      </c>
      <c r="D533" s="12">
        <v>11.457268000000001</v>
      </c>
      <c r="E533" s="10" t="s">
        <v>411</v>
      </c>
      <c r="F533" s="10" t="s">
        <v>73</v>
      </c>
      <c r="G533" s="10" t="s">
        <v>414</v>
      </c>
      <c r="H533" s="10" t="s">
        <v>413</v>
      </c>
    </row>
    <row r="534" spans="1:8">
      <c r="A534" s="13" t="s">
        <v>166</v>
      </c>
      <c r="B534" s="14">
        <v>2018</v>
      </c>
      <c r="C534" s="13" t="s">
        <v>135</v>
      </c>
      <c r="D534" s="15">
        <v>12.668389999999999</v>
      </c>
      <c r="E534" s="13" t="s">
        <v>411</v>
      </c>
      <c r="F534" s="13" t="s">
        <v>73</v>
      </c>
      <c r="G534" s="13" t="s">
        <v>414</v>
      </c>
      <c r="H534" s="13" t="s">
        <v>413</v>
      </c>
    </row>
    <row r="535" spans="1:8">
      <c r="A535" s="10" t="s">
        <v>166</v>
      </c>
      <c r="B535" s="11">
        <v>2019</v>
      </c>
      <c r="C535" s="10" t="s">
        <v>135</v>
      </c>
      <c r="D535" s="12">
        <v>12.418059999999999</v>
      </c>
      <c r="E535" s="10" t="s">
        <v>411</v>
      </c>
      <c r="F535" s="10" t="s">
        <v>73</v>
      </c>
      <c r="G535" s="10" t="s">
        <v>414</v>
      </c>
      <c r="H535" s="10" t="s">
        <v>413</v>
      </c>
    </row>
    <row r="536" spans="1:8">
      <c r="A536" s="13" t="s">
        <v>166</v>
      </c>
      <c r="B536" s="14">
        <v>2020</v>
      </c>
      <c r="C536" s="13" t="s">
        <v>135</v>
      </c>
      <c r="D536" s="15">
        <v>12.551613</v>
      </c>
      <c r="E536" s="13" t="s">
        <v>411</v>
      </c>
      <c r="F536" s="13" t="s">
        <v>73</v>
      </c>
      <c r="G536" s="13" t="s">
        <v>414</v>
      </c>
      <c r="H536" s="13" t="s">
        <v>413</v>
      </c>
    </row>
    <row r="537" spans="1:8">
      <c r="A537" s="10" t="s">
        <v>166</v>
      </c>
      <c r="B537" s="11">
        <v>2021</v>
      </c>
      <c r="C537" s="10" t="s">
        <v>135</v>
      </c>
      <c r="D537" s="12">
        <v>12.132809</v>
      </c>
      <c r="E537" s="10" t="s">
        <v>411</v>
      </c>
      <c r="F537" s="10" t="s">
        <v>73</v>
      </c>
      <c r="G537" s="10" t="s">
        <v>414</v>
      </c>
      <c r="H537" s="10" t="s">
        <v>413</v>
      </c>
    </row>
    <row r="538" spans="1:8">
      <c r="A538" s="13" t="s">
        <v>166</v>
      </c>
      <c r="B538" s="14">
        <v>2022</v>
      </c>
      <c r="C538" s="13" t="s">
        <v>135</v>
      </c>
      <c r="D538" s="15">
        <v>13.343753000000001</v>
      </c>
      <c r="E538" s="13" t="s">
        <v>411</v>
      </c>
      <c r="F538" s="13" t="s">
        <v>73</v>
      </c>
      <c r="G538" s="13" t="s">
        <v>414</v>
      </c>
      <c r="H538" s="13" t="s">
        <v>413</v>
      </c>
    </row>
    <row r="539" spans="1:8">
      <c r="A539" s="10" t="s">
        <v>166</v>
      </c>
      <c r="B539" s="11">
        <v>2023</v>
      </c>
      <c r="C539" s="10" t="s">
        <v>135</v>
      </c>
      <c r="D539" s="12">
        <v>13.889038000000001</v>
      </c>
      <c r="E539" s="10" t="s">
        <v>411</v>
      </c>
      <c r="F539" s="10" t="s">
        <v>73</v>
      </c>
      <c r="G539" s="10" t="s">
        <v>414</v>
      </c>
      <c r="H539" s="10" t="s">
        <v>413</v>
      </c>
    </row>
    <row r="540" spans="1:8">
      <c r="A540" s="13" t="s">
        <v>167</v>
      </c>
      <c r="B540" s="14">
        <v>2000</v>
      </c>
      <c r="C540" s="13" t="s">
        <v>7</v>
      </c>
      <c r="D540" s="15">
        <v>0.43099999999999999</v>
      </c>
      <c r="E540" s="13" t="s">
        <v>411</v>
      </c>
      <c r="F540" s="13" t="s">
        <v>63</v>
      </c>
      <c r="G540" s="13" t="s">
        <v>414</v>
      </c>
      <c r="H540" s="13" t="s">
        <v>413</v>
      </c>
    </row>
    <row r="541" spans="1:8">
      <c r="A541" s="10" t="s">
        <v>167</v>
      </c>
      <c r="B541" s="11">
        <v>2001</v>
      </c>
      <c r="C541" s="10" t="s">
        <v>7</v>
      </c>
      <c r="D541" s="12">
        <v>0.49</v>
      </c>
      <c r="E541" s="10" t="s">
        <v>411</v>
      </c>
      <c r="F541" s="10" t="s">
        <v>63</v>
      </c>
      <c r="G541" s="10" t="s">
        <v>414</v>
      </c>
      <c r="H541" s="10" t="s">
        <v>413</v>
      </c>
    </row>
    <row r="542" spans="1:8">
      <c r="A542" s="13" t="s">
        <v>167</v>
      </c>
      <c r="B542" s="14">
        <v>2002</v>
      </c>
      <c r="C542" s="13" t="s">
        <v>7</v>
      </c>
      <c r="D542" s="15">
        <v>0.53100000000000003</v>
      </c>
      <c r="E542" s="13" t="s">
        <v>411</v>
      </c>
      <c r="F542" s="13" t="s">
        <v>63</v>
      </c>
      <c r="G542" s="13" t="s">
        <v>414</v>
      </c>
      <c r="H542" s="13" t="s">
        <v>413</v>
      </c>
    </row>
    <row r="543" spans="1:8">
      <c r="A543" s="10" t="s">
        <v>167</v>
      </c>
      <c r="B543" s="11">
        <v>2003</v>
      </c>
      <c r="C543" s="10" t="s">
        <v>7</v>
      </c>
      <c r="D543" s="12">
        <v>0.67800000000000005</v>
      </c>
      <c r="E543" s="10" t="s">
        <v>411</v>
      </c>
      <c r="F543" s="10" t="s">
        <v>63</v>
      </c>
      <c r="G543" s="10" t="s">
        <v>414</v>
      </c>
      <c r="H543" s="10" t="s">
        <v>413</v>
      </c>
    </row>
    <row r="544" spans="1:8">
      <c r="A544" s="13" t="s">
        <v>167</v>
      </c>
      <c r="B544" s="14">
        <v>2004</v>
      </c>
      <c r="C544" s="13" t="s">
        <v>7</v>
      </c>
      <c r="D544" s="15">
        <v>0.80900000000000005</v>
      </c>
      <c r="E544" s="13" t="s">
        <v>411</v>
      </c>
      <c r="F544" s="13" t="s">
        <v>63</v>
      </c>
      <c r="G544" s="13" t="s">
        <v>414</v>
      </c>
      <c r="H544" s="13" t="s">
        <v>413</v>
      </c>
    </row>
    <row r="545" spans="1:8">
      <c r="A545" s="10" t="s">
        <v>167</v>
      </c>
      <c r="B545" s="11">
        <v>2005</v>
      </c>
      <c r="C545" s="10" t="s">
        <v>7</v>
      </c>
      <c r="D545" s="12">
        <v>1.351</v>
      </c>
      <c r="E545" s="10" t="s">
        <v>411</v>
      </c>
      <c r="F545" s="10" t="s">
        <v>63</v>
      </c>
      <c r="G545" s="10" t="s">
        <v>414</v>
      </c>
      <c r="H545" s="10" t="s">
        <v>413</v>
      </c>
    </row>
    <row r="546" spans="1:8">
      <c r="A546" s="13" t="s">
        <v>167</v>
      </c>
      <c r="B546" s="14">
        <v>2006</v>
      </c>
      <c r="C546" s="13" t="s">
        <v>7</v>
      </c>
      <c r="D546" s="15">
        <v>1.651</v>
      </c>
      <c r="E546" s="13" t="s">
        <v>411</v>
      </c>
      <c r="F546" s="13" t="s">
        <v>63</v>
      </c>
      <c r="G546" s="13" t="s">
        <v>414</v>
      </c>
      <c r="H546" s="13" t="s">
        <v>413</v>
      </c>
    </row>
    <row r="547" spans="1:8">
      <c r="A547" s="10" t="s">
        <v>167</v>
      </c>
      <c r="B547" s="11">
        <v>2007</v>
      </c>
      <c r="C547" s="10" t="s">
        <v>7</v>
      </c>
      <c r="D547" s="12">
        <v>2.0830000000000002</v>
      </c>
      <c r="E547" s="10" t="s">
        <v>411</v>
      </c>
      <c r="F547" s="10" t="s">
        <v>63</v>
      </c>
      <c r="G547" s="10" t="s">
        <v>414</v>
      </c>
      <c r="H547" s="10" t="s">
        <v>413</v>
      </c>
    </row>
    <row r="548" spans="1:8">
      <c r="A548" s="13" t="s">
        <v>167</v>
      </c>
      <c r="B548" s="14">
        <v>2008</v>
      </c>
      <c r="C548" s="13" t="s">
        <v>7</v>
      </c>
      <c r="D548" s="15">
        <v>2.8498000000000001</v>
      </c>
      <c r="E548" s="13" t="s">
        <v>411</v>
      </c>
      <c r="F548" s="13" t="s">
        <v>63</v>
      </c>
      <c r="G548" s="13" t="s">
        <v>414</v>
      </c>
      <c r="H548" s="13" t="s">
        <v>413</v>
      </c>
    </row>
    <row r="549" spans="1:8">
      <c r="A549" s="10" t="s">
        <v>167</v>
      </c>
      <c r="B549" s="11">
        <v>2009</v>
      </c>
      <c r="C549" s="10" t="s">
        <v>7</v>
      </c>
      <c r="D549" s="12">
        <v>3.468</v>
      </c>
      <c r="E549" s="10" t="s">
        <v>411</v>
      </c>
      <c r="F549" s="10" t="s">
        <v>63</v>
      </c>
      <c r="G549" s="10" t="s">
        <v>414</v>
      </c>
      <c r="H549" s="10" t="s">
        <v>413</v>
      </c>
    </row>
    <row r="550" spans="1:8">
      <c r="A550" s="13" t="s">
        <v>167</v>
      </c>
      <c r="B550" s="14">
        <v>2010</v>
      </c>
      <c r="C550" s="13" t="s">
        <v>7</v>
      </c>
      <c r="D550" s="15">
        <v>4.08</v>
      </c>
      <c r="E550" s="13" t="s">
        <v>411</v>
      </c>
      <c r="F550" s="13" t="s">
        <v>63</v>
      </c>
      <c r="G550" s="13" t="s">
        <v>414</v>
      </c>
      <c r="H550" s="13" t="s">
        <v>413</v>
      </c>
    </row>
    <row r="551" spans="1:8">
      <c r="A551" s="10" t="s">
        <v>167</v>
      </c>
      <c r="B551" s="11">
        <v>2011</v>
      </c>
      <c r="C551" s="10" t="s">
        <v>7</v>
      </c>
      <c r="D551" s="12">
        <v>4.758</v>
      </c>
      <c r="E551" s="10" t="s">
        <v>411</v>
      </c>
      <c r="F551" s="10" t="s">
        <v>63</v>
      </c>
      <c r="G551" s="10" t="s">
        <v>414</v>
      </c>
      <c r="H551" s="10" t="s">
        <v>413</v>
      </c>
    </row>
    <row r="552" spans="1:8">
      <c r="A552" s="13" t="s">
        <v>167</v>
      </c>
      <c r="B552" s="14">
        <v>2012</v>
      </c>
      <c r="C552" s="13" t="s">
        <v>7</v>
      </c>
      <c r="D552" s="15">
        <v>6.0350000000000001</v>
      </c>
      <c r="E552" s="13" t="s">
        <v>411</v>
      </c>
      <c r="F552" s="13" t="s">
        <v>63</v>
      </c>
      <c r="G552" s="13" t="s">
        <v>414</v>
      </c>
      <c r="H552" s="13" t="s">
        <v>413</v>
      </c>
    </row>
    <row r="553" spans="1:8">
      <c r="A553" s="10" t="s">
        <v>167</v>
      </c>
      <c r="B553" s="11">
        <v>2013</v>
      </c>
      <c r="C553" s="10" t="s">
        <v>7</v>
      </c>
      <c r="D553" s="12">
        <v>7.5860000000000003</v>
      </c>
      <c r="E553" s="10" t="s">
        <v>411</v>
      </c>
      <c r="F553" s="10" t="s">
        <v>63</v>
      </c>
      <c r="G553" s="10" t="s">
        <v>414</v>
      </c>
      <c r="H553" s="10" t="s">
        <v>413</v>
      </c>
    </row>
    <row r="554" spans="1:8">
      <c r="A554" s="13" t="s">
        <v>167</v>
      </c>
      <c r="B554" s="14">
        <v>2014</v>
      </c>
      <c r="C554" s="13" t="s">
        <v>7</v>
      </c>
      <c r="D554" s="15">
        <v>8.5730000000000004</v>
      </c>
      <c r="E554" s="13" t="s">
        <v>411</v>
      </c>
      <c r="F554" s="13" t="s">
        <v>63</v>
      </c>
      <c r="G554" s="13" t="s">
        <v>414</v>
      </c>
      <c r="H554" s="13" t="s">
        <v>413</v>
      </c>
    </row>
    <row r="555" spans="1:8">
      <c r="A555" s="10" t="s">
        <v>167</v>
      </c>
      <c r="B555" s="11">
        <v>2015</v>
      </c>
      <c r="C555" s="10" t="s">
        <v>7</v>
      </c>
      <c r="D555" s="12">
        <v>9.2119999999999997</v>
      </c>
      <c r="E555" s="10" t="s">
        <v>411</v>
      </c>
      <c r="F555" s="10" t="s">
        <v>63</v>
      </c>
      <c r="G555" s="10" t="s">
        <v>414</v>
      </c>
      <c r="H555" s="10" t="s">
        <v>413</v>
      </c>
    </row>
    <row r="556" spans="1:8">
      <c r="A556" s="13" t="s">
        <v>167</v>
      </c>
      <c r="B556" s="14">
        <v>2016</v>
      </c>
      <c r="C556" s="13" t="s">
        <v>7</v>
      </c>
      <c r="D556" s="15">
        <v>10.833</v>
      </c>
      <c r="E556" s="13" t="s">
        <v>411</v>
      </c>
      <c r="F556" s="13" t="s">
        <v>63</v>
      </c>
      <c r="G556" s="13" t="s">
        <v>414</v>
      </c>
      <c r="H556" s="13" t="s">
        <v>413</v>
      </c>
    </row>
    <row r="557" spans="1:8">
      <c r="A557" s="10" t="s">
        <v>167</v>
      </c>
      <c r="B557" s="11">
        <v>2017</v>
      </c>
      <c r="C557" s="10" t="s">
        <v>7</v>
      </c>
      <c r="D557" s="12">
        <v>12.597</v>
      </c>
      <c r="E557" s="10" t="s">
        <v>411</v>
      </c>
      <c r="F557" s="10" t="s">
        <v>63</v>
      </c>
      <c r="G557" s="10" t="s">
        <v>414</v>
      </c>
      <c r="H557" s="10" t="s">
        <v>413</v>
      </c>
    </row>
    <row r="558" spans="1:8">
      <c r="A558" s="13" t="s">
        <v>167</v>
      </c>
      <c r="B558" s="14">
        <v>2018</v>
      </c>
      <c r="C558" s="13" t="s">
        <v>7</v>
      </c>
      <c r="D558" s="15">
        <v>13.425148999999999</v>
      </c>
      <c r="E558" s="13" t="s">
        <v>411</v>
      </c>
      <c r="F558" s="13" t="s">
        <v>63</v>
      </c>
      <c r="G558" s="13" t="s">
        <v>414</v>
      </c>
      <c r="H558" s="13" t="s">
        <v>413</v>
      </c>
    </row>
    <row r="559" spans="1:8">
      <c r="A559" s="10" t="s">
        <v>167</v>
      </c>
      <c r="B559" s="11">
        <v>2019</v>
      </c>
      <c r="C559" s="10" t="s">
        <v>7</v>
      </c>
      <c r="D559" s="12">
        <v>13.998818999999999</v>
      </c>
      <c r="E559" s="10" t="s">
        <v>411</v>
      </c>
      <c r="F559" s="10" t="s">
        <v>63</v>
      </c>
      <c r="G559" s="10" t="s">
        <v>414</v>
      </c>
      <c r="H559" s="10" t="s">
        <v>413</v>
      </c>
    </row>
    <row r="560" spans="1:8">
      <c r="A560" s="13" t="s">
        <v>167</v>
      </c>
      <c r="B560" s="14">
        <v>2020</v>
      </c>
      <c r="C560" s="13" t="s">
        <v>7</v>
      </c>
      <c r="D560" s="15">
        <v>14.075075999999999</v>
      </c>
      <c r="E560" s="13" t="s">
        <v>411</v>
      </c>
      <c r="F560" s="13" t="s">
        <v>63</v>
      </c>
      <c r="G560" s="13" t="s">
        <v>414</v>
      </c>
      <c r="H560" s="13" t="s">
        <v>413</v>
      </c>
    </row>
    <row r="561" spans="1:8">
      <c r="A561" s="10" t="s">
        <v>167</v>
      </c>
      <c r="B561" s="11">
        <v>2021</v>
      </c>
      <c r="C561" s="10" t="s">
        <v>7</v>
      </c>
      <c r="D561" s="12">
        <v>14.492754999999999</v>
      </c>
      <c r="E561" s="10" t="s">
        <v>411</v>
      </c>
      <c r="F561" s="10" t="s">
        <v>63</v>
      </c>
      <c r="G561" s="10" t="s">
        <v>414</v>
      </c>
      <c r="H561" s="10" t="s">
        <v>413</v>
      </c>
    </row>
    <row r="562" spans="1:8">
      <c r="A562" s="13" t="s">
        <v>167</v>
      </c>
      <c r="B562" s="14">
        <v>2022</v>
      </c>
      <c r="C562" s="13" t="s">
        <v>7</v>
      </c>
      <c r="D562" s="15">
        <v>14.833807</v>
      </c>
      <c r="E562" s="13" t="s">
        <v>411</v>
      </c>
      <c r="F562" s="13" t="s">
        <v>63</v>
      </c>
      <c r="G562" s="13" t="s">
        <v>414</v>
      </c>
      <c r="H562" s="13" t="s">
        <v>413</v>
      </c>
    </row>
    <row r="563" spans="1:8">
      <c r="A563" s="10" t="s">
        <v>167</v>
      </c>
      <c r="B563" s="11">
        <v>2023</v>
      </c>
      <c r="C563" s="10" t="s">
        <v>7</v>
      </c>
      <c r="D563" s="12">
        <v>15.417873</v>
      </c>
      <c r="E563" s="10" t="s">
        <v>411</v>
      </c>
      <c r="F563" s="10" t="s">
        <v>63</v>
      </c>
      <c r="G563" s="10" t="s">
        <v>414</v>
      </c>
      <c r="H563" s="10" t="s">
        <v>413</v>
      </c>
    </row>
    <row r="564" spans="1:8">
      <c r="A564" s="13" t="s">
        <v>167</v>
      </c>
      <c r="B564" s="14">
        <v>2024</v>
      </c>
      <c r="C564" s="13" t="s">
        <v>7</v>
      </c>
      <c r="D564" s="15">
        <v>16.229973000000001</v>
      </c>
      <c r="E564" s="13" t="s">
        <v>411</v>
      </c>
      <c r="F564" s="13" t="s">
        <v>63</v>
      </c>
      <c r="G564" s="13" t="s">
        <v>414</v>
      </c>
      <c r="H564" s="13" t="s">
        <v>413</v>
      </c>
    </row>
    <row r="565" spans="1:8">
      <c r="A565" s="10" t="s">
        <v>167</v>
      </c>
      <c r="B565" s="11">
        <v>2000</v>
      </c>
      <c r="C565" s="10" t="s">
        <v>135</v>
      </c>
      <c r="D565" s="12">
        <v>0.94599999999999995</v>
      </c>
      <c r="E565" s="10" t="s">
        <v>411</v>
      </c>
      <c r="F565" s="10" t="s">
        <v>73</v>
      </c>
      <c r="G565" s="10" t="s">
        <v>414</v>
      </c>
      <c r="H565" s="10" t="s">
        <v>413</v>
      </c>
    </row>
    <row r="566" spans="1:8">
      <c r="A566" s="13" t="s">
        <v>167</v>
      </c>
      <c r="B566" s="14">
        <v>2001</v>
      </c>
      <c r="C566" s="13" t="s">
        <v>135</v>
      </c>
      <c r="D566" s="15">
        <v>0.96</v>
      </c>
      <c r="E566" s="13" t="s">
        <v>411</v>
      </c>
      <c r="F566" s="13" t="s">
        <v>73</v>
      </c>
      <c r="G566" s="13" t="s">
        <v>414</v>
      </c>
      <c r="H566" s="13" t="s">
        <v>413</v>
      </c>
    </row>
    <row r="567" spans="1:8">
      <c r="A567" s="10" t="s">
        <v>167</v>
      </c>
      <c r="B567" s="11">
        <v>2002</v>
      </c>
      <c r="C567" s="10" t="s">
        <v>135</v>
      </c>
      <c r="D567" s="12">
        <v>1.2509999999999999</v>
      </c>
      <c r="E567" s="10" t="s">
        <v>411</v>
      </c>
      <c r="F567" s="10" t="s">
        <v>73</v>
      </c>
      <c r="G567" s="10" t="s">
        <v>414</v>
      </c>
      <c r="H567" s="10" t="s">
        <v>413</v>
      </c>
    </row>
    <row r="568" spans="1:8">
      <c r="A568" s="13" t="s">
        <v>167</v>
      </c>
      <c r="B568" s="14">
        <v>2003</v>
      </c>
      <c r="C568" s="13" t="s">
        <v>135</v>
      </c>
      <c r="D568" s="15">
        <v>1.2749999999999999</v>
      </c>
      <c r="E568" s="13" t="s">
        <v>411</v>
      </c>
      <c r="F568" s="13" t="s">
        <v>73</v>
      </c>
      <c r="G568" s="13" t="s">
        <v>414</v>
      </c>
      <c r="H568" s="13" t="s">
        <v>413</v>
      </c>
    </row>
    <row r="569" spans="1:8">
      <c r="A569" s="10" t="s">
        <v>167</v>
      </c>
      <c r="B569" s="11">
        <v>2004</v>
      </c>
      <c r="C569" s="10" t="s">
        <v>135</v>
      </c>
      <c r="D569" s="12">
        <v>1.736</v>
      </c>
      <c r="E569" s="10" t="s">
        <v>411</v>
      </c>
      <c r="F569" s="10" t="s">
        <v>73</v>
      </c>
      <c r="G569" s="10" t="s">
        <v>414</v>
      </c>
      <c r="H569" s="10" t="s">
        <v>413</v>
      </c>
    </row>
    <row r="570" spans="1:8">
      <c r="A570" s="13" t="s">
        <v>167</v>
      </c>
      <c r="B570" s="14">
        <v>2005</v>
      </c>
      <c r="C570" s="13" t="s">
        <v>135</v>
      </c>
      <c r="D570" s="15">
        <v>2.5009999999999999</v>
      </c>
      <c r="E570" s="13" t="s">
        <v>411</v>
      </c>
      <c r="F570" s="13" t="s">
        <v>73</v>
      </c>
      <c r="G570" s="13" t="s">
        <v>414</v>
      </c>
      <c r="H570" s="13" t="s">
        <v>413</v>
      </c>
    </row>
    <row r="571" spans="1:8">
      <c r="A571" s="10" t="s">
        <v>167</v>
      </c>
      <c r="B571" s="11">
        <v>2006</v>
      </c>
      <c r="C571" s="10" t="s">
        <v>135</v>
      </c>
      <c r="D571" s="12">
        <v>3.5739999999999998</v>
      </c>
      <c r="E571" s="10" t="s">
        <v>411</v>
      </c>
      <c r="F571" s="10" t="s">
        <v>73</v>
      </c>
      <c r="G571" s="10" t="s">
        <v>414</v>
      </c>
      <c r="H571" s="10" t="s">
        <v>413</v>
      </c>
    </row>
    <row r="572" spans="1:8">
      <c r="A572" s="13" t="s">
        <v>167</v>
      </c>
      <c r="B572" s="14">
        <v>2007</v>
      </c>
      <c r="C572" s="13" t="s">
        <v>135</v>
      </c>
      <c r="D572" s="15">
        <v>4.4909999999999997</v>
      </c>
      <c r="E572" s="13" t="s">
        <v>411</v>
      </c>
      <c r="F572" s="13" t="s">
        <v>73</v>
      </c>
      <c r="G572" s="13" t="s">
        <v>414</v>
      </c>
      <c r="H572" s="13" t="s">
        <v>413</v>
      </c>
    </row>
    <row r="573" spans="1:8">
      <c r="A573" s="10" t="s">
        <v>167</v>
      </c>
      <c r="B573" s="11">
        <v>2008</v>
      </c>
      <c r="C573" s="10" t="s">
        <v>135</v>
      </c>
      <c r="D573" s="12">
        <v>6.0609999999999999</v>
      </c>
      <c r="E573" s="10" t="s">
        <v>411</v>
      </c>
      <c r="F573" s="10" t="s">
        <v>73</v>
      </c>
      <c r="G573" s="10" t="s">
        <v>414</v>
      </c>
      <c r="H573" s="10" t="s">
        <v>413</v>
      </c>
    </row>
    <row r="574" spans="1:8">
      <c r="A574" s="13" t="s">
        <v>167</v>
      </c>
      <c r="B574" s="14">
        <v>2009</v>
      </c>
      <c r="C574" s="13" t="s">
        <v>135</v>
      </c>
      <c r="D574" s="15">
        <v>7.83</v>
      </c>
      <c r="E574" s="13" t="s">
        <v>411</v>
      </c>
      <c r="F574" s="13" t="s">
        <v>73</v>
      </c>
      <c r="G574" s="13" t="s">
        <v>414</v>
      </c>
      <c r="H574" s="13" t="s">
        <v>413</v>
      </c>
    </row>
    <row r="575" spans="1:8">
      <c r="A575" s="10" t="s">
        <v>167</v>
      </c>
      <c r="B575" s="11">
        <v>2010</v>
      </c>
      <c r="C575" s="10" t="s">
        <v>135</v>
      </c>
      <c r="D575" s="12">
        <v>7.2263299999999999</v>
      </c>
      <c r="E575" s="10" t="s">
        <v>411</v>
      </c>
      <c r="F575" s="10" t="s">
        <v>73</v>
      </c>
      <c r="G575" s="10" t="s">
        <v>414</v>
      </c>
      <c r="H575" s="10" t="s">
        <v>413</v>
      </c>
    </row>
    <row r="576" spans="1:8">
      <c r="A576" s="13" t="s">
        <v>167</v>
      </c>
      <c r="B576" s="14">
        <v>2011</v>
      </c>
      <c r="C576" s="13" t="s">
        <v>135</v>
      </c>
      <c r="D576" s="15">
        <v>10.813969999999999</v>
      </c>
      <c r="E576" s="13" t="s">
        <v>411</v>
      </c>
      <c r="F576" s="13" t="s">
        <v>73</v>
      </c>
      <c r="G576" s="13" t="s">
        <v>414</v>
      </c>
      <c r="H576" s="13" t="s">
        <v>413</v>
      </c>
    </row>
    <row r="577" spans="1:8">
      <c r="A577" s="10" t="s">
        <v>167</v>
      </c>
      <c r="B577" s="11">
        <v>2012</v>
      </c>
      <c r="C577" s="10" t="s">
        <v>135</v>
      </c>
      <c r="D577" s="12">
        <v>12.243829999999999</v>
      </c>
      <c r="E577" s="10" t="s">
        <v>411</v>
      </c>
      <c r="F577" s="10" t="s">
        <v>73</v>
      </c>
      <c r="G577" s="10" t="s">
        <v>414</v>
      </c>
      <c r="H577" s="10" t="s">
        <v>413</v>
      </c>
    </row>
    <row r="578" spans="1:8">
      <c r="A578" s="13" t="s">
        <v>167</v>
      </c>
      <c r="B578" s="14">
        <v>2013</v>
      </c>
      <c r="C578" s="13" t="s">
        <v>135</v>
      </c>
      <c r="D578" s="15">
        <v>16.925219999999999</v>
      </c>
      <c r="E578" s="13" t="s">
        <v>411</v>
      </c>
      <c r="F578" s="13" t="s">
        <v>73</v>
      </c>
      <c r="G578" s="13" t="s">
        <v>414</v>
      </c>
      <c r="H578" s="13" t="s">
        <v>413</v>
      </c>
    </row>
    <row r="579" spans="1:8">
      <c r="A579" s="10" t="s">
        <v>167</v>
      </c>
      <c r="B579" s="11">
        <v>2014</v>
      </c>
      <c r="C579" s="10" t="s">
        <v>135</v>
      </c>
      <c r="D579" s="12">
        <v>18.554410000000001</v>
      </c>
      <c r="E579" s="10" t="s">
        <v>411</v>
      </c>
      <c r="F579" s="10" t="s">
        <v>73</v>
      </c>
      <c r="G579" s="10" t="s">
        <v>414</v>
      </c>
      <c r="H579" s="10" t="s">
        <v>413</v>
      </c>
    </row>
    <row r="580" spans="1:8">
      <c r="A580" s="13" t="s">
        <v>167</v>
      </c>
      <c r="B580" s="14">
        <v>2015</v>
      </c>
      <c r="C580" s="13" t="s">
        <v>135</v>
      </c>
      <c r="D580" s="15">
        <v>22.852259999999998</v>
      </c>
      <c r="E580" s="13" t="s">
        <v>411</v>
      </c>
      <c r="F580" s="13" t="s">
        <v>73</v>
      </c>
      <c r="G580" s="13" t="s">
        <v>414</v>
      </c>
      <c r="H580" s="13" t="s">
        <v>413</v>
      </c>
    </row>
    <row r="581" spans="1:8">
      <c r="A581" s="10" t="s">
        <v>167</v>
      </c>
      <c r="B581" s="11">
        <v>2016</v>
      </c>
      <c r="C581" s="10" t="s">
        <v>135</v>
      </c>
      <c r="D581" s="12">
        <v>20.753259999999997</v>
      </c>
      <c r="E581" s="10" t="s">
        <v>411</v>
      </c>
      <c r="F581" s="10" t="s">
        <v>73</v>
      </c>
      <c r="G581" s="10" t="s">
        <v>414</v>
      </c>
      <c r="H581" s="10" t="s">
        <v>413</v>
      </c>
    </row>
    <row r="582" spans="1:8">
      <c r="A582" s="13" t="s">
        <v>167</v>
      </c>
      <c r="B582" s="14">
        <v>2017</v>
      </c>
      <c r="C582" s="13" t="s">
        <v>135</v>
      </c>
      <c r="D582" s="15">
        <v>28.725201999999999</v>
      </c>
      <c r="E582" s="13" t="s">
        <v>411</v>
      </c>
      <c r="F582" s="13" t="s">
        <v>73</v>
      </c>
      <c r="G582" s="13" t="s">
        <v>414</v>
      </c>
      <c r="H582" s="13" t="s">
        <v>413</v>
      </c>
    </row>
    <row r="583" spans="1:8">
      <c r="A583" s="10" t="s">
        <v>167</v>
      </c>
      <c r="B583" s="11">
        <v>2018</v>
      </c>
      <c r="C583" s="10" t="s">
        <v>135</v>
      </c>
      <c r="D583" s="12">
        <v>30.382415000000002</v>
      </c>
      <c r="E583" s="10" t="s">
        <v>411</v>
      </c>
      <c r="F583" s="10" t="s">
        <v>73</v>
      </c>
      <c r="G583" s="10" t="s">
        <v>414</v>
      </c>
      <c r="H583" s="10" t="s">
        <v>413</v>
      </c>
    </row>
    <row r="584" spans="1:8">
      <c r="A584" s="13" t="s">
        <v>167</v>
      </c>
      <c r="B584" s="14">
        <v>2019</v>
      </c>
      <c r="C584" s="13" t="s">
        <v>135</v>
      </c>
      <c r="D584" s="15">
        <v>31.859746999999999</v>
      </c>
      <c r="E584" s="13" t="s">
        <v>411</v>
      </c>
      <c r="F584" s="13" t="s">
        <v>73</v>
      </c>
      <c r="G584" s="13" t="s">
        <v>414</v>
      </c>
      <c r="H584" s="13" t="s">
        <v>413</v>
      </c>
    </row>
    <row r="585" spans="1:8">
      <c r="A585" s="10" t="s">
        <v>167</v>
      </c>
      <c r="B585" s="11">
        <v>2020</v>
      </c>
      <c r="C585" s="10" t="s">
        <v>135</v>
      </c>
      <c r="D585" s="12">
        <v>34.942070000000001</v>
      </c>
      <c r="E585" s="10" t="s">
        <v>411</v>
      </c>
      <c r="F585" s="10" t="s">
        <v>73</v>
      </c>
      <c r="G585" s="10" t="s">
        <v>414</v>
      </c>
      <c r="H585" s="10" t="s">
        <v>413</v>
      </c>
    </row>
    <row r="586" spans="1:8">
      <c r="A586" s="13" t="s">
        <v>167</v>
      </c>
      <c r="B586" s="14">
        <v>2021</v>
      </c>
      <c r="C586" s="13" t="s">
        <v>135</v>
      </c>
      <c r="D586" s="15">
        <v>29.414401000000002</v>
      </c>
      <c r="E586" s="13" t="s">
        <v>411</v>
      </c>
      <c r="F586" s="13" t="s">
        <v>73</v>
      </c>
      <c r="G586" s="13" t="s">
        <v>414</v>
      </c>
      <c r="H586" s="13" t="s">
        <v>413</v>
      </c>
    </row>
    <row r="587" spans="1:8">
      <c r="A587" s="10" t="s">
        <v>167</v>
      </c>
      <c r="B587" s="11">
        <v>2022</v>
      </c>
      <c r="C587" s="10" t="s">
        <v>135</v>
      </c>
      <c r="D587" s="12">
        <v>35.522615999999999</v>
      </c>
      <c r="E587" s="10" t="s">
        <v>411</v>
      </c>
      <c r="F587" s="10" t="s">
        <v>73</v>
      </c>
      <c r="G587" s="10" t="s">
        <v>414</v>
      </c>
      <c r="H587" s="10" t="s">
        <v>413</v>
      </c>
    </row>
    <row r="588" spans="1:8">
      <c r="A588" s="13" t="s">
        <v>167</v>
      </c>
      <c r="B588" s="14">
        <v>2023</v>
      </c>
      <c r="C588" s="13" t="s">
        <v>135</v>
      </c>
      <c r="D588" s="15">
        <v>32.758749000000002</v>
      </c>
      <c r="E588" s="13" t="s">
        <v>411</v>
      </c>
      <c r="F588" s="13" t="s">
        <v>73</v>
      </c>
      <c r="G588" s="13" t="s">
        <v>414</v>
      </c>
      <c r="H588" s="13" t="s">
        <v>413</v>
      </c>
    </row>
    <row r="589" spans="1:8">
      <c r="A589" s="10" t="s">
        <v>168</v>
      </c>
      <c r="B589" s="11">
        <v>2000</v>
      </c>
      <c r="C589" s="10" t="s">
        <v>7</v>
      </c>
      <c r="D589" s="12">
        <v>4.0000000000000001E-3</v>
      </c>
      <c r="E589" s="10" t="s">
        <v>411</v>
      </c>
      <c r="F589" s="10" t="s">
        <v>63</v>
      </c>
      <c r="G589" s="10" t="s">
        <v>414</v>
      </c>
      <c r="H589" s="10" t="s">
        <v>413</v>
      </c>
    </row>
    <row r="590" spans="1:8">
      <c r="A590" s="13" t="s">
        <v>168</v>
      </c>
      <c r="B590" s="14">
        <v>2001</v>
      </c>
      <c r="C590" s="13" t="s">
        <v>7</v>
      </c>
      <c r="D590" s="15">
        <v>4.0000000000000001E-3</v>
      </c>
      <c r="E590" s="13" t="s">
        <v>411</v>
      </c>
      <c r="F590" s="13" t="s">
        <v>63</v>
      </c>
      <c r="G590" s="13" t="s">
        <v>414</v>
      </c>
      <c r="H590" s="13" t="s">
        <v>413</v>
      </c>
    </row>
    <row r="591" spans="1:8">
      <c r="A591" s="10" t="s">
        <v>168</v>
      </c>
      <c r="B591" s="11">
        <v>2002</v>
      </c>
      <c r="C591" s="10" t="s">
        <v>7</v>
      </c>
      <c r="D591" s="12">
        <v>4.0000000000000001E-3</v>
      </c>
      <c r="E591" s="10" t="s">
        <v>411</v>
      </c>
      <c r="F591" s="10" t="s">
        <v>63</v>
      </c>
      <c r="G591" s="10" t="s">
        <v>414</v>
      </c>
      <c r="H591" s="10" t="s">
        <v>413</v>
      </c>
    </row>
    <row r="592" spans="1:8">
      <c r="A592" s="13" t="s">
        <v>168</v>
      </c>
      <c r="B592" s="14">
        <v>2003</v>
      </c>
      <c r="C592" s="13" t="s">
        <v>7</v>
      </c>
      <c r="D592" s="15">
        <v>6.4000000000000001E-2</v>
      </c>
      <c r="E592" s="13" t="s">
        <v>411</v>
      </c>
      <c r="F592" s="13" t="s">
        <v>63</v>
      </c>
      <c r="G592" s="13" t="s">
        <v>414</v>
      </c>
      <c r="H592" s="13" t="s">
        <v>413</v>
      </c>
    </row>
    <row r="593" spans="1:8">
      <c r="A593" s="10" t="s">
        <v>168</v>
      </c>
      <c r="B593" s="11">
        <v>2004</v>
      </c>
      <c r="C593" s="10" t="s">
        <v>7</v>
      </c>
      <c r="D593" s="12">
        <v>0.124</v>
      </c>
      <c r="E593" s="10" t="s">
        <v>411</v>
      </c>
      <c r="F593" s="10" t="s">
        <v>63</v>
      </c>
      <c r="G593" s="10" t="s">
        <v>414</v>
      </c>
      <c r="H593" s="10" t="s">
        <v>413</v>
      </c>
    </row>
    <row r="594" spans="1:8">
      <c r="A594" s="13" t="s">
        <v>168</v>
      </c>
      <c r="B594" s="14">
        <v>2005</v>
      </c>
      <c r="C594" s="13" t="s">
        <v>7</v>
      </c>
      <c r="D594" s="15">
        <v>0.214</v>
      </c>
      <c r="E594" s="13" t="s">
        <v>411</v>
      </c>
      <c r="F594" s="13" t="s">
        <v>63</v>
      </c>
      <c r="G594" s="13" t="s">
        <v>414</v>
      </c>
      <c r="H594" s="13" t="s">
        <v>413</v>
      </c>
    </row>
    <row r="595" spans="1:8">
      <c r="A595" s="10" t="s">
        <v>168</v>
      </c>
      <c r="B595" s="11">
        <v>2006</v>
      </c>
      <c r="C595" s="10" t="s">
        <v>7</v>
      </c>
      <c r="D595" s="12">
        <v>0.30399999999999999</v>
      </c>
      <c r="E595" s="10" t="s">
        <v>411</v>
      </c>
      <c r="F595" s="10" t="s">
        <v>63</v>
      </c>
      <c r="G595" s="10" t="s">
        <v>414</v>
      </c>
      <c r="H595" s="10" t="s">
        <v>413</v>
      </c>
    </row>
    <row r="596" spans="1:8">
      <c r="A596" s="13" t="s">
        <v>168</v>
      </c>
      <c r="B596" s="14">
        <v>2007</v>
      </c>
      <c r="C596" s="13" t="s">
        <v>7</v>
      </c>
      <c r="D596" s="15">
        <v>0.39400000000000002</v>
      </c>
      <c r="E596" s="13" t="s">
        <v>411</v>
      </c>
      <c r="F596" s="13" t="s">
        <v>63</v>
      </c>
      <c r="G596" s="13" t="s">
        <v>414</v>
      </c>
      <c r="H596" s="13" t="s">
        <v>413</v>
      </c>
    </row>
    <row r="597" spans="1:8">
      <c r="A597" s="10" t="s">
        <v>168</v>
      </c>
      <c r="B597" s="11">
        <v>2008</v>
      </c>
      <c r="C597" s="10" t="s">
        <v>7</v>
      </c>
      <c r="D597" s="12">
        <v>0.59620000000000006</v>
      </c>
      <c r="E597" s="10" t="s">
        <v>411</v>
      </c>
      <c r="F597" s="10" t="s">
        <v>63</v>
      </c>
      <c r="G597" s="10" t="s">
        <v>414</v>
      </c>
      <c r="H597" s="10" t="s">
        <v>413</v>
      </c>
    </row>
    <row r="598" spans="1:8">
      <c r="A598" s="13" t="s">
        <v>168</v>
      </c>
      <c r="B598" s="14">
        <v>2009</v>
      </c>
      <c r="C598" s="13" t="s">
        <v>7</v>
      </c>
      <c r="D598" s="15">
        <v>0.95099999999999996</v>
      </c>
      <c r="E598" s="13" t="s">
        <v>411</v>
      </c>
      <c r="F598" s="13" t="s">
        <v>63</v>
      </c>
      <c r="G598" s="13" t="s">
        <v>414</v>
      </c>
      <c r="H598" s="13" t="s">
        <v>413</v>
      </c>
    </row>
    <row r="599" spans="1:8">
      <c r="A599" s="10" t="s">
        <v>168</v>
      </c>
      <c r="B599" s="11">
        <v>2010</v>
      </c>
      <c r="C599" s="10" t="s">
        <v>7</v>
      </c>
      <c r="D599" s="12">
        <v>1.341</v>
      </c>
      <c r="E599" s="10" t="s">
        <v>411</v>
      </c>
      <c r="F599" s="10" t="s">
        <v>63</v>
      </c>
      <c r="G599" s="10" t="s">
        <v>414</v>
      </c>
      <c r="H599" s="10" t="s">
        <v>413</v>
      </c>
    </row>
    <row r="600" spans="1:8">
      <c r="A600" s="13" t="s">
        <v>168</v>
      </c>
      <c r="B600" s="14">
        <v>2011</v>
      </c>
      <c r="C600" s="13" t="s">
        <v>7</v>
      </c>
      <c r="D600" s="15">
        <v>1.8380000000000001</v>
      </c>
      <c r="E600" s="13" t="s">
        <v>411</v>
      </c>
      <c r="F600" s="13" t="s">
        <v>63</v>
      </c>
      <c r="G600" s="13" t="s">
        <v>414</v>
      </c>
      <c r="H600" s="13" t="s">
        <v>413</v>
      </c>
    </row>
    <row r="601" spans="1:8">
      <c r="A601" s="10" t="s">
        <v>168</v>
      </c>
      <c r="B601" s="11">
        <v>2012</v>
      </c>
      <c r="C601" s="10" t="s">
        <v>7</v>
      </c>
      <c r="D601" s="12">
        <v>2.9950000000000001</v>
      </c>
      <c r="E601" s="10" t="s">
        <v>411</v>
      </c>
      <c r="F601" s="10" t="s">
        <v>63</v>
      </c>
      <c r="G601" s="10" t="s">
        <v>414</v>
      </c>
      <c r="H601" s="10" t="s">
        <v>413</v>
      </c>
    </row>
    <row r="602" spans="1:8">
      <c r="A602" s="13" t="s">
        <v>168</v>
      </c>
      <c r="B602" s="14">
        <v>2013</v>
      </c>
      <c r="C602" s="13" t="s">
        <v>7</v>
      </c>
      <c r="D602" s="15">
        <v>3.6960000000000002</v>
      </c>
      <c r="E602" s="13" t="s">
        <v>411</v>
      </c>
      <c r="F602" s="13" t="s">
        <v>63</v>
      </c>
      <c r="G602" s="13" t="s">
        <v>414</v>
      </c>
      <c r="H602" s="13" t="s">
        <v>413</v>
      </c>
    </row>
    <row r="603" spans="1:8">
      <c r="A603" s="10" t="s">
        <v>168</v>
      </c>
      <c r="B603" s="11">
        <v>2014</v>
      </c>
      <c r="C603" s="10" t="s">
        <v>7</v>
      </c>
      <c r="D603" s="12">
        <v>4.5010000000000003</v>
      </c>
      <c r="E603" s="10" t="s">
        <v>411</v>
      </c>
      <c r="F603" s="10" t="s">
        <v>63</v>
      </c>
      <c r="G603" s="10" t="s">
        <v>414</v>
      </c>
      <c r="H603" s="10" t="s">
        <v>413</v>
      </c>
    </row>
    <row r="604" spans="1:8">
      <c r="A604" s="13" t="s">
        <v>168</v>
      </c>
      <c r="B604" s="14">
        <v>2015</v>
      </c>
      <c r="C604" s="13" t="s">
        <v>7</v>
      </c>
      <c r="D604" s="15">
        <v>5.093</v>
      </c>
      <c r="E604" s="13" t="s">
        <v>411</v>
      </c>
      <c r="F604" s="13" t="s">
        <v>63</v>
      </c>
      <c r="G604" s="13" t="s">
        <v>414</v>
      </c>
      <c r="H604" s="13" t="s">
        <v>413</v>
      </c>
    </row>
    <row r="605" spans="1:8">
      <c r="A605" s="10" t="s">
        <v>168</v>
      </c>
      <c r="B605" s="11">
        <v>2016</v>
      </c>
      <c r="C605" s="10" t="s">
        <v>7</v>
      </c>
      <c r="D605" s="12">
        <v>5.2930000000000001</v>
      </c>
      <c r="E605" s="10" t="s">
        <v>411</v>
      </c>
      <c r="F605" s="10" t="s">
        <v>63</v>
      </c>
      <c r="G605" s="10" t="s">
        <v>414</v>
      </c>
      <c r="H605" s="10" t="s">
        <v>413</v>
      </c>
    </row>
    <row r="606" spans="1:8">
      <c r="A606" s="13" t="s">
        <v>168</v>
      </c>
      <c r="B606" s="14">
        <v>2017</v>
      </c>
      <c r="C606" s="13" t="s">
        <v>7</v>
      </c>
      <c r="D606" s="15">
        <v>6.9880000000000004</v>
      </c>
      <c r="E606" s="13" t="s">
        <v>411</v>
      </c>
      <c r="F606" s="13" t="s">
        <v>63</v>
      </c>
      <c r="G606" s="13" t="s">
        <v>414</v>
      </c>
      <c r="H606" s="13" t="s">
        <v>413</v>
      </c>
    </row>
    <row r="607" spans="1:8">
      <c r="A607" s="10" t="s">
        <v>168</v>
      </c>
      <c r="B607" s="11">
        <v>2018</v>
      </c>
      <c r="C607" s="10" t="s">
        <v>7</v>
      </c>
      <c r="D607" s="12">
        <v>8.1805000000000003</v>
      </c>
      <c r="E607" s="10" t="s">
        <v>411</v>
      </c>
      <c r="F607" s="10" t="s">
        <v>63</v>
      </c>
      <c r="G607" s="10" t="s">
        <v>414</v>
      </c>
      <c r="H607" s="10" t="s">
        <v>413</v>
      </c>
    </row>
    <row r="608" spans="1:8">
      <c r="A608" s="13" t="s">
        <v>168</v>
      </c>
      <c r="B608" s="14">
        <v>2019</v>
      </c>
      <c r="C608" s="13" t="s">
        <v>7</v>
      </c>
      <c r="D608" s="15">
        <v>9.8880999999999997</v>
      </c>
      <c r="E608" s="13" t="s">
        <v>411</v>
      </c>
      <c r="F608" s="13" t="s">
        <v>63</v>
      </c>
      <c r="G608" s="13" t="s">
        <v>414</v>
      </c>
      <c r="H608" s="13" t="s">
        <v>413</v>
      </c>
    </row>
    <row r="609" spans="1:8">
      <c r="A609" s="10" t="s">
        <v>168</v>
      </c>
      <c r="B609" s="11">
        <v>2020</v>
      </c>
      <c r="C609" s="10" t="s">
        <v>7</v>
      </c>
      <c r="D609" s="12">
        <v>10.382850000000001</v>
      </c>
      <c r="E609" s="10" t="s">
        <v>411</v>
      </c>
      <c r="F609" s="10" t="s">
        <v>63</v>
      </c>
      <c r="G609" s="10" t="s">
        <v>414</v>
      </c>
      <c r="H609" s="10" t="s">
        <v>413</v>
      </c>
    </row>
    <row r="610" spans="1:8">
      <c r="A610" s="13" t="s">
        <v>168</v>
      </c>
      <c r="B610" s="14">
        <v>2021</v>
      </c>
      <c r="C610" s="13" t="s">
        <v>7</v>
      </c>
      <c r="D610" s="15">
        <v>11.255475000000001</v>
      </c>
      <c r="E610" s="13" t="s">
        <v>411</v>
      </c>
      <c r="F610" s="13" t="s">
        <v>63</v>
      </c>
      <c r="G610" s="13" t="s">
        <v>414</v>
      </c>
      <c r="H610" s="13" t="s">
        <v>413</v>
      </c>
    </row>
    <row r="611" spans="1:8">
      <c r="A611" s="10" t="s">
        <v>168</v>
      </c>
      <c r="B611" s="11">
        <v>2022</v>
      </c>
      <c r="C611" s="10" t="s">
        <v>7</v>
      </c>
      <c r="D611" s="12">
        <v>13.927475000000001</v>
      </c>
      <c r="E611" s="10" t="s">
        <v>411</v>
      </c>
      <c r="F611" s="10" t="s">
        <v>63</v>
      </c>
      <c r="G611" s="10" t="s">
        <v>414</v>
      </c>
      <c r="H611" s="10" t="s">
        <v>413</v>
      </c>
    </row>
    <row r="612" spans="1:8">
      <c r="A612" s="13" t="s">
        <v>168</v>
      </c>
      <c r="B612" s="14">
        <v>2023</v>
      </c>
      <c r="C612" s="13" t="s">
        <v>7</v>
      </c>
      <c r="D612" s="15">
        <v>14.745075</v>
      </c>
      <c r="E612" s="13" t="s">
        <v>411</v>
      </c>
      <c r="F612" s="13" t="s">
        <v>63</v>
      </c>
      <c r="G612" s="13" t="s">
        <v>414</v>
      </c>
      <c r="H612" s="13" t="s">
        <v>413</v>
      </c>
    </row>
    <row r="613" spans="1:8">
      <c r="A613" s="10" t="s">
        <v>168</v>
      </c>
      <c r="B613" s="11">
        <v>2024</v>
      </c>
      <c r="C613" s="10" t="s">
        <v>7</v>
      </c>
      <c r="D613" s="12">
        <v>15.915674999999998</v>
      </c>
      <c r="E613" s="10" t="s">
        <v>411</v>
      </c>
      <c r="F613" s="10" t="s">
        <v>63</v>
      </c>
      <c r="G613" s="10" t="s">
        <v>414</v>
      </c>
      <c r="H613" s="10" t="s">
        <v>413</v>
      </c>
    </row>
    <row r="614" spans="1:8">
      <c r="A614" s="13" t="s">
        <v>168</v>
      </c>
      <c r="B614" s="14">
        <v>2000</v>
      </c>
      <c r="C614" s="13" t="s">
        <v>135</v>
      </c>
      <c r="D614" s="15">
        <v>1E-3</v>
      </c>
      <c r="E614" s="13" t="s">
        <v>411</v>
      </c>
      <c r="F614" s="13" t="s">
        <v>73</v>
      </c>
      <c r="G614" s="13" t="s">
        <v>414</v>
      </c>
      <c r="H614" s="13" t="s">
        <v>413</v>
      </c>
    </row>
    <row r="615" spans="1:8">
      <c r="A615" s="10" t="s">
        <v>168</v>
      </c>
      <c r="B615" s="11">
        <v>2001</v>
      </c>
      <c r="C615" s="10" t="s">
        <v>135</v>
      </c>
      <c r="D615" s="12">
        <v>5.0000000000000001E-3</v>
      </c>
      <c r="E615" s="10" t="s">
        <v>411</v>
      </c>
      <c r="F615" s="10" t="s">
        <v>73</v>
      </c>
      <c r="G615" s="10" t="s">
        <v>414</v>
      </c>
      <c r="H615" s="10" t="s">
        <v>413</v>
      </c>
    </row>
    <row r="616" spans="1:8">
      <c r="A616" s="13" t="s">
        <v>168</v>
      </c>
      <c r="B616" s="14">
        <v>2002</v>
      </c>
      <c r="C616" s="13" t="s">
        <v>135</v>
      </c>
      <c r="D616" s="15">
        <v>5.0000000000000001E-3</v>
      </c>
      <c r="E616" s="13" t="s">
        <v>411</v>
      </c>
      <c r="F616" s="13" t="s">
        <v>73</v>
      </c>
      <c r="G616" s="13" t="s">
        <v>414</v>
      </c>
      <c r="H616" s="13" t="s">
        <v>413</v>
      </c>
    </row>
    <row r="617" spans="1:8">
      <c r="A617" s="10" t="s">
        <v>168</v>
      </c>
      <c r="B617" s="11">
        <v>2003</v>
      </c>
      <c r="C617" s="10" t="s">
        <v>135</v>
      </c>
      <c r="D617" s="12">
        <v>0.01</v>
      </c>
      <c r="E617" s="10" t="s">
        <v>411</v>
      </c>
      <c r="F617" s="10" t="s">
        <v>73</v>
      </c>
      <c r="G617" s="10" t="s">
        <v>414</v>
      </c>
      <c r="H617" s="10" t="s">
        <v>413</v>
      </c>
    </row>
    <row r="618" spans="1:8">
      <c r="A618" s="13" t="s">
        <v>168</v>
      </c>
      <c r="B618" s="14">
        <v>2004</v>
      </c>
      <c r="C618" s="13" t="s">
        <v>135</v>
      </c>
      <c r="D618" s="15">
        <v>0.19900000000000001</v>
      </c>
      <c r="E618" s="13" t="s">
        <v>411</v>
      </c>
      <c r="F618" s="13" t="s">
        <v>73</v>
      </c>
      <c r="G618" s="13" t="s">
        <v>414</v>
      </c>
      <c r="H618" s="13" t="s">
        <v>413</v>
      </c>
    </row>
    <row r="619" spans="1:8">
      <c r="A619" s="10" t="s">
        <v>168</v>
      </c>
      <c r="B619" s="11">
        <v>2005</v>
      </c>
      <c r="C619" s="10" t="s">
        <v>135</v>
      </c>
      <c r="D619" s="12">
        <v>0.40300000000000002</v>
      </c>
      <c r="E619" s="10" t="s">
        <v>411</v>
      </c>
      <c r="F619" s="10" t="s">
        <v>73</v>
      </c>
      <c r="G619" s="10" t="s">
        <v>414</v>
      </c>
      <c r="H619" s="10" t="s">
        <v>413</v>
      </c>
    </row>
    <row r="620" spans="1:8">
      <c r="A620" s="13" t="s">
        <v>168</v>
      </c>
      <c r="B620" s="14">
        <v>2006</v>
      </c>
      <c r="C620" s="13" t="s">
        <v>135</v>
      </c>
      <c r="D620" s="15">
        <v>0.65100000000000002</v>
      </c>
      <c r="E620" s="13" t="s">
        <v>411</v>
      </c>
      <c r="F620" s="13" t="s">
        <v>73</v>
      </c>
      <c r="G620" s="13" t="s">
        <v>414</v>
      </c>
      <c r="H620" s="13" t="s">
        <v>413</v>
      </c>
    </row>
    <row r="621" spans="1:8">
      <c r="A621" s="10" t="s">
        <v>168</v>
      </c>
      <c r="B621" s="11">
        <v>2007</v>
      </c>
      <c r="C621" s="10" t="s">
        <v>135</v>
      </c>
      <c r="D621" s="12">
        <v>0.78300000000000003</v>
      </c>
      <c r="E621" s="10" t="s">
        <v>411</v>
      </c>
      <c r="F621" s="10" t="s">
        <v>73</v>
      </c>
      <c r="G621" s="10" t="s">
        <v>414</v>
      </c>
      <c r="H621" s="10" t="s">
        <v>413</v>
      </c>
    </row>
    <row r="622" spans="1:8">
      <c r="A622" s="13" t="s">
        <v>168</v>
      </c>
      <c r="B622" s="14">
        <v>2008</v>
      </c>
      <c r="C622" s="13" t="s">
        <v>135</v>
      </c>
      <c r="D622" s="15">
        <v>1.335</v>
      </c>
      <c r="E622" s="13" t="s">
        <v>411</v>
      </c>
      <c r="F622" s="13" t="s">
        <v>73</v>
      </c>
      <c r="G622" s="13" t="s">
        <v>414</v>
      </c>
      <c r="H622" s="13" t="s">
        <v>413</v>
      </c>
    </row>
    <row r="623" spans="1:8">
      <c r="A623" s="10" t="s">
        <v>168</v>
      </c>
      <c r="B623" s="11">
        <v>2009</v>
      </c>
      <c r="C623" s="10" t="s">
        <v>135</v>
      </c>
      <c r="D623" s="12">
        <v>1.754</v>
      </c>
      <c r="E623" s="10" t="s">
        <v>411</v>
      </c>
      <c r="F623" s="10" t="s">
        <v>73</v>
      </c>
      <c r="G623" s="10" t="s">
        <v>414</v>
      </c>
      <c r="H623" s="10" t="s">
        <v>413</v>
      </c>
    </row>
    <row r="624" spans="1:8">
      <c r="A624" s="13" t="s">
        <v>168</v>
      </c>
      <c r="B624" s="14">
        <v>2010</v>
      </c>
      <c r="C624" s="13" t="s">
        <v>135</v>
      </c>
      <c r="D624" s="15">
        <v>3.0596700000000001</v>
      </c>
      <c r="E624" s="13" t="s">
        <v>411</v>
      </c>
      <c r="F624" s="13" t="s">
        <v>73</v>
      </c>
      <c r="G624" s="13" t="s">
        <v>414</v>
      </c>
      <c r="H624" s="13" t="s">
        <v>413</v>
      </c>
    </row>
    <row r="625" spans="1:8">
      <c r="A625" s="10" t="s">
        <v>168</v>
      </c>
      <c r="B625" s="11">
        <v>2011</v>
      </c>
      <c r="C625" s="10" t="s">
        <v>135</v>
      </c>
      <c r="D625" s="12">
        <v>5.1490299999999998</v>
      </c>
      <c r="E625" s="10" t="s">
        <v>411</v>
      </c>
      <c r="F625" s="10" t="s">
        <v>73</v>
      </c>
      <c r="G625" s="10" t="s">
        <v>414</v>
      </c>
      <c r="H625" s="10" t="s">
        <v>413</v>
      </c>
    </row>
    <row r="626" spans="1:8">
      <c r="A626" s="13" t="s">
        <v>168</v>
      </c>
      <c r="B626" s="14">
        <v>2012</v>
      </c>
      <c r="C626" s="13" t="s">
        <v>135</v>
      </c>
      <c r="D626" s="15">
        <v>7.6031700000000004</v>
      </c>
      <c r="E626" s="13" t="s">
        <v>411</v>
      </c>
      <c r="F626" s="13" t="s">
        <v>73</v>
      </c>
      <c r="G626" s="13" t="s">
        <v>414</v>
      </c>
      <c r="H626" s="13" t="s">
        <v>413</v>
      </c>
    </row>
    <row r="627" spans="1:8">
      <c r="A627" s="10" t="s">
        <v>168</v>
      </c>
      <c r="B627" s="11">
        <v>2013</v>
      </c>
      <c r="C627" s="10" t="s">
        <v>135</v>
      </c>
      <c r="D627" s="12">
        <v>11.471780000000001</v>
      </c>
      <c r="E627" s="10" t="s">
        <v>411</v>
      </c>
      <c r="F627" s="10" t="s">
        <v>73</v>
      </c>
      <c r="G627" s="10" t="s">
        <v>414</v>
      </c>
      <c r="H627" s="10" t="s">
        <v>413</v>
      </c>
    </row>
    <row r="628" spans="1:8">
      <c r="A628" s="13" t="s">
        <v>168</v>
      </c>
      <c r="B628" s="14">
        <v>2014</v>
      </c>
      <c r="C628" s="13" t="s">
        <v>135</v>
      </c>
      <c r="D628" s="15">
        <v>13.404590000000001</v>
      </c>
      <c r="E628" s="13" t="s">
        <v>411</v>
      </c>
      <c r="F628" s="13" t="s">
        <v>73</v>
      </c>
      <c r="G628" s="13" t="s">
        <v>414</v>
      </c>
      <c r="H628" s="13" t="s">
        <v>413</v>
      </c>
    </row>
    <row r="629" spans="1:8">
      <c r="A629" s="10" t="s">
        <v>168</v>
      </c>
      <c r="B629" s="11">
        <v>2015</v>
      </c>
      <c r="C629" s="10" t="s">
        <v>135</v>
      </c>
      <c r="D629" s="12">
        <v>17.422740000000001</v>
      </c>
      <c r="E629" s="10" t="s">
        <v>411</v>
      </c>
      <c r="F629" s="10" t="s">
        <v>73</v>
      </c>
      <c r="G629" s="10" t="s">
        <v>414</v>
      </c>
      <c r="H629" s="10" t="s">
        <v>413</v>
      </c>
    </row>
    <row r="630" spans="1:8">
      <c r="A630" s="13" t="s">
        <v>168</v>
      </c>
      <c r="B630" s="14">
        <v>2016</v>
      </c>
      <c r="C630" s="13" t="s">
        <v>135</v>
      </c>
      <c r="D630" s="15">
        <v>16.405740000000002</v>
      </c>
      <c r="E630" s="13" t="s">
        <v>411</v>
      </c>
      <c r="F630" s="13" t="s">
        <v>73</v>
      </c>
      <c r="G630" s="13" t="s">
        <v>414</v>
      </c>
      <c r="H630" s="13" t="s">
        <v>413</v>
      </c>
    </row>
    <row r="631" spans="1:8">
      <c r="A631" s="10" t="s">
        <v>168</v>
      </c>
      <c r="B631" s="11">
        <v>2017</v>
      </c>
      <c r="C631" s="10" t="s">
        <v>135</v>
      </c>
      <c r="D631" s="12">
        <v>20.91592</v>
      </c>
      <c r="E631" s="10" t="s">
        <v>411</v>
      </c>
      <c r="F631" s="10" t="s">
        <v>73</v>
      </c>
      <c r="G631" s="10" t="s">
        <v>414</v>
      </c>
      <c r="H631" s="10" t="s">
        <v>413</v>
      </c>
    </row>
    <row r="632" spans="1:8">
      <c r="A632" s="13" t="s">
        <v>168</v>
      </c>
      <c r="B632" s="14">
        <v>2018</v>
      </c>
      <c r="C632" s="13" t="s">
        <v>135</v>
      </c>
      <c r="D632" s="15">
        <v>26.525200000000002</v>
      </c>
      <c r="E632" s="13" t="s">
        <v>411</v>
      </c>
      <c r="F632" s="13" t="s">
        <v>73</v>
      </c>
      <c r="G632" s="13" t="s">
        <v>414</v>
      </c>
      <c r="H632" s="13" t="s">
        <v>413</v>
      </c>
    </row>
    <row r="633" spans="1:8">
      <c r="A633" s="10" t="s">
        <v>168</v>
      </c>
      <c r="B633" s="11">
        <v>2019</v>
      </c>
      <c r="C633" s="10" t="s">
        <v>135</v>
      </c>
      <c r="D633" s="12">
        <v>31.975150000000003</v>
      </c>
      <c r="E633" s="10" t="s">
        <v>411</v>
      </c>
      <c r="F633" s="10" t="s">
        <v>73</v>
      </c>
      <c r="G633" s="10" t="s">
        <v>414</v>
      </c>
      <c r="H633" s="10" t="s">
        <v>413</v>
      </c>
    </row>
    <row r="634" spans="1:8">
      <c r="A634" s="13" t="s">
        <v>168</v>
      </c>
      <c r="B634" s="14">
        <v>2020</v>
      </c>
      <c r="C634" s="13" t="s">
        <v>135</v>
      </c>
      <c r="D634" s="15">
        <v>40.681089999999998</v>
      </c>
      <c r="E634" s="13" t="s">
        <v>411</v>
      </c>
      <c r="F634" s="13" t="s">
        <v>73</v>
      </c>
      <c r="G634" s="13" t="s">
        <v>414</v>
      </c>
      <c r="H634" s="13" t="s">
        <v>413</v>
      </c>
    </row>
    <row r="635" spans="1:8">
      <c r="A635" s="10" t="s">
        <v>168</v>
      </c>
      <c r="B635" s="11">
        <v>2021</v>
      </c>
      <c r="C635" s="10" t="s">
        <v>135</v>
      </c>
      <c r="D635" s="12">
        <v>35.509540000000001</v>
      </c>
      <c r="E635" s="10" t="s">
        <v>411</v>
      </c>
      <c r="F635" s="10" t="s">
        <v>73</v>
      </c>
      <c r="G635" s="10" t="s">
        <v>414</v>
      </c>
      <c r="H635" s="10" t="s">
        <v>413</v>
      </c>
    </row>
    <row r="636" spans="1:8">
      <c r="A636" s="13" t="s">
        <v>168</v>
      </c>
      <c r="B636" s="14">
        <v>2022</v>
      </c>
      <c r="C636" s="13" t="s">
        <v>135</v>
      </c>
      <c r="D636" s="15">
        <v>45.019870000000004</v>
      </c>
      <c r="E636" s="13" t="s">
        <v>411</v>
      </c>
      <c r="F636" s="13" t="s">
        <v>73</v>
      </c>
      <c r="G636" s="13" t="s">
        <v>414</v>
      </c>
      <c r="H636" s="13" t="s">
        <v>413</v>
      </c>
    </row>
    <row r="637" spans="1:8">
      <c r="A637" s="10" t="s">
        <v>168</v>
      </c>
      <c r="B637" s="11">
        <v>2023</v>
      </c>
      <c r="C637" s="10" t="s">
        <v>135</v>
      </c>
      <c r="D637" s="12">
        <v>49.549889999999998</v>
      </c>
      <c r="E637" s="10" t="s">
        <v>411</v>
      </c>
      <c r="F637" s="10" t="s">
        <v>73</v>
      </c>
      <c r="G637" s="10" t="s">
        <v>414</v>
      </c>
      <c r="H637" s="10" t="s">
        <v>413</v>
      </c>
    </row>
    <row r="638" spans="1:8">
      <c r="A638" s="13" t="s">
        <v>138</v>
      </c>
      <c r="B638" s="14">
        <v>2000</v>
      </c>
      <c r="C638" s="13" t="s">
        <v>7</v>
      </c>
      <c r="D638" s="15">
        <v>0.46800000000000003</v>
      </c>
      <c r="E638" s="13" t="s">
        <v>411</v>
      </c>
      <c r="F638" s="13" t="s">
        <v>63</v>
      </c>
      <c r="G638" s="13" t="s">
        <v>412</v>
      </c>
      <c r="H638" s="13" t="s">
        <v>413</v>
      </c>
    </row>
    <row r="639" spans="1:8">
      <c r="A639" s="10" t="s">
        <v>138</v>
      </c>
      <c r="B639" s="11">
        <v>2001</v>
      </c>
      <c r="C639" s="10" t="s">
        <v>7</v>
      </c>
      <c r="D639" s="12">
        <v>0.503</v>
      </c>
      <c r="E639" s="10" t="s">
        <v>411</v>
      </c>
      <c r="F639" s="10" t="s">
        <v>63</v>
      </c>
      <c r="G639" s="10" t="s">
        <v>412</v>
      </c>
      <c r="H639" s="10" t="s">
        <v>413</v>
      </c>
    </row>
    <row r="640" spans="1:8">
      <c r="A640" s="13" t="s">
        <v>138</v>
      </c>
      <c r="B640" s="14">
        <v>2002</v>
      </c>
      <c r="C640" s="13" t="s">
        <v>7</v>
      </c>
      <c r="D640" s="15">
        <v>0.53500000000000003</v>
      </c>
      <c r="E640" s="13" t="s">
        <v>411</v>
      </c>
      <c r="F640" s="13" t="s">
        <v>63</v>
      </c>
      <c r="G640" s="13" t="s">
        <v>412</v>
      </c>
      <c r="H640" s="13" t="s">
        <v>413</v>
      </c>
    </row>
    <row r="641" spans="1:8">
      <c r="A641" s="10" t="s">
        <v>138</v>
      </c>
      <c r="B641" s="11">
        <v>2003</v>
      </c>
      <c r="C641" s="10" t="s">
        <v>7</v>
      </c>
      <c r="D641" s="12">
        <v>0.7</v>
      </c>
      <c r="E641" s="10" t="s">
        <v>411</v>
      </c>
      <c r="F641" s="10" t="s">
        <v>63</v>
      </c>
      <c r="G641" s="10" t="s">
        <v>412</v>
      </c>
      <c r="H641" s="10" t="s">
        <v>413</v>
      </c>
    </row>
    <row r="642" spans="1:8">
      <c r="A642" s="13" t="s">
        <v>138</v>
      </c>
      <c r="B642" s="14">
        <v>2004</v>
      </c>
      <c r="C642" s="13" t="s">
        <v>7</v>
      </c>
      <c r="D642" s="15">
        <v>0.80400000000000005</v>
      </c>
      <c r="E642" s="13" t="s">
        <v>411</v>
      </c>
      <c r="F642" s="13" t="s">
        <v>63</v>
      </c>
      <c r="G642" s="13" t="s">
        <v>412</v>
      </c>
      <c r="H642" s="13" t="s">
        <v>413</v>
      </c>
    </row>
    <row r="643" spans="1:8">
      <c r="A643" s="10" t="s">
        <v>138</v>
      </c>
      <c r="B643" s="11">
        <v>2005</v>
      </c>
      <c r="C643" s="10" t="s">
        <v>7</v>
      </c>
      <c r="D643" s="12">
        <v>0.9</v>
      </c>
      <c r="E643" s="10" t="s">
        <v>411</v>
      </c>
      <c r="F643" s="10" t="s">
        <v>63</v>
      </c>
      <c r="G643" s="10" t="s">
        <v>412</v>
      </c>
      <c r="H643" s="10" t="s">
        <v>413</v>
      </c>
    </row>
    <row r="644" spans="1:8">
      <c r="A644" s="13" t="s">
        <v>138</v>
      </c>
      <c r="B644" s="14">
        <v>2006</v>
      </c>
      <c r="C644" s="13" t="s">
        <v>7</v>
      </c>
      <c r="D644" s="15">
        <v>0.94299999999999995</v>
      </c>
      <c r="E644" s="13" t="s">
        <v>411</v>
      </c>
      <c r="F644" s="13" t="s">
        <v>63</v>
      </c>
      <c r="G644" s="13" t="s">
        <v>412</v>
      </c>
      <c r="H644" s="13" t="s">
        <v>413</v>
      </c>
    </row>
    <row r="645" spans="1:8">
      <c r="A645" s="10" t="s">
        <v>138</v>
      </c>
      <c r="B645" s="11">
        <v>2007</v>
      </c>
      <c r="C645" s="10" t="s">
        <v>7</v>
      </c>
      <c r="D645" s="12">
        <v>0.99099999999999999</v>
      </c>
      <c r="E645" s="10" t="s">
        <v>411</v>
      </c>
      <c r="F645" s="10" t="s">
        <v>63</v>
      </c>
      <c r="G645" s="10" t="s">
        <v>412</v>
      </c>
      <c r="H645" s="10" t="s">
        <v>413</v>
      </c>
    </row>
    <row r="646" spans="1:8">
      <c r="A646" s="13" t="s">
        <v>138</v>
      </c>
      <c r="B646" s="14">
        <v>2008</v>
      </c>
      <c r="C646" s="13" t="s">
        <v>7</v>
      </c>
      <c r="D646" s="15">
        <v>0.98699999999999999</v>
      </c>
      <c r="E646" s="13" t="s">
        <v>411</v>
      </c>
      <c r="F646" s="13" t="s">
        <v>63</v>
      </c>
      <c r="G646" s="13" t="s">
        <v>412</v>
      </c>
      <c r="H646" s="13" t="s">
        <v>413</v>
      </c>
    </row>
    <row r="647" spans="1:8">
      <c r="A647" s="10" t="s">
        <v>138</v>
      </c>
      <c r="B647" s="11">
        <v>2009</v>
      </c>
      <c r="C647" s="10" t="s">
        <v>7</v>
      </c>
      <c r="D647" s="12">
        <v>1.137</v>
      </c>
      <c r="E647" s="10" t="s">
        <v>411</v>
      </c>
      <c r="F647" s="10" t="s">
        <v>63</v>
      </c>
      <c r="G647" s="10" t="s">
        <v>412</v>
      </c>
      <c r="H647" s="10" t="s">
        <v>413</v>
      </c>
    </row>
    <row r="648" spans="1:8">
      <c r="A648" s="13" t="s">
        <v>138</v>
      </c>
      <c r="B648" s="14">
        <v>2010</v>
      </c>
      <c r="C648" s="13" t="s">
        <v>7</v>
      </c>
      <c r="D648" s="15">
        <v>1.244</v>
      </c>
      <c r="E648" s="13" t="s">
        <v>411</v>
      </c>
      <c r="F648" s="13" t="s">
        <v>63</v>
      </c>
      <c r="G648" s="13" t="s">
        <v>412</v>
      </c>
      <c r="H648" s="13" t="s">
        <v>413</v>
      </c>
    </row>
    <row r="649" spans="1:8">
      <c r="A649" s="10" t="s">
        <v>138</v>
      </c>
      <c r="B649" s="11">
        <v>2011</v>
      </c>
      <c r="C649" s="10" t="s">
        <v>7</v>
      </c>
      <c r="D649" s="12">
        <v>1.3260000000000001</v>
      </c>
      <c r="E649" s="10" t="s">
        <v>411</v>
      </c>
      <c r="F649" s="10" t="s">
        <v>63</v>
      </c>
      <c r="G649" s="10" t="s">
        <v>412</v>
      </c>
      <c r="H649" s="10" t="s">
        <v>413</v>
      </c>
    </row>
    <row r="650" spans="1:8">
      <c r="A650" s="13" t="s">
        <v>138</v>
      </c>
      <c r="B650" s="14">
        <v>2012</v>
      </c>
      <c r="C650" s="13" t="s">
        <v>7</v>
      </c>
      <c r="D650" s="15">
        <v>1.375</v>
      </c>
      <c r="E650" s="13" t="s">
        <v>411</v>
      </c>
      <c r="F650" s="13" t="s">
        <v>63</v>
      </c>
      <c r="G650" s="13" t="s">
        <v>412</v>
      </c>
      <c r="H650" s="13" t="s">
        <v>413</v>
      </c>
    </row>
    <row r="651" spans="1:8">
      <c r="A651" s="10" t="s">
        <v>138</v>
      </c>
      <c r="B651" s="11">
        <v>2013</v>
      </c>
      <c r="C651" s="10" t="s">
        <v>7</v>
      </c>
      <c r="D651" s="12">
        <v>1.4139999999999999</v>
      </c>
      <c r="E651" s="10" t="s">
        <v>411</v>
      </c>
      <c r="F651" s="10" t="s">
        <v>63</v>
      </c>
      <c r="G651" s="10" t="s">
        <v>412</v>
      </c>
      <c r="H651" s="10" t="s">
        <v>413</v>
      </c>
    </row>
    <row r="652" spans="1:8">
      <c r="A652" s="13" t="s">
        <v>138</v>
      </c>
      <c r="B652" s="14">
        <v>2014</v>
      </c>
      <c r="C652" s="13" t="s">
        <v>7</v>
      </c>
      <c r="D652" s="15">
        <v>1.5309999999999999</v>
      </c>
      <c r="E652" s="13" t="s">
        <v>411</v>
      </c>
      <c r="F652" s="13" t="s">
        <v>63</v>
      </c>
      <c r="G652" s="13" t="s">
        <v>412</v>
      </c>
      <c r="H652" s="13" t="s">
        <v>413</v>
      </c>
    </row>
    <row r="653" spans="1:8">
      <c r="A653" s="10" t="s">
        <v>138</v>
      </c>
      <c r="B653" s="11">
        <v>2015</v>
      </c>
      <c r="C653" s="10" t="s">
        <v>7</v>
      </c>
      <c r="D653" s="12">
        <v>1.6283599999999998</v>
      </c>
      <c r="E653" s="10" t="s">
        <v>411</v>
      </c>
      <c r="F653" s="10" t="s">
        <v>63</v>
      </c>
      <c r="G653" s="10" t="s">
        <v>412</v>
      </c>
      <c r="H653" s="10" t="s">
        <v>413</v>
      </c>
    </row>
    <row r="654" spans="1:8">
      <c r="A654" s="13" t="s">
        <v>138</v>
      </c>
      <c r="B654" s="14">
        <v>2016</v>
      </c>
      <c r="C654" s="13" t="s">
        <v>7</v>
      </c>
      <c r="D654" s="15">
        <v>1.7736200000000002</v>
      </c>
      <c r="E654" s="13" t="s">
        <v>411</v>
      </c>
      <c r="F654" s="13" t="s">
        <v>63</v>
      </c>
      <c r="G654" s="13" t="s">
        <v>412</v>
      </c>
      <c r="H654" s="13" t="s">
        <v>413</v>
      </c>
    </row>
    <row r="655" spans="1:8">
      <c r="A655" s="10" t="s">
        <v>138</v>
      </c>
      <c r="B655" s="11">
        <v>2017</v>
      </c>
      <c r="C655" s="10" t="s">
        <v>7</v>
      </c>
      <c r="D655" s="12">
        <v>1.8190599999999999</v>
      </c>
      <c r="E655" s="10" t="s">
        <v>411</v>
      </c>
      <c r="F655" s="10" t="s">
        <v>63</v>
      </c>
      <c r="G655" s="10" t="s">
        <v>412</v>
      </c>
      <c r="H655" s="10" t="s">
        <v>413</v>
      </c>
    </row>
    <row r="656" spans="1:8">
      <c r="A656" s="13" t="s">
        <v>138</v>
      </c>
      <c r="B656" s="14">
        <v>2018</v>
      </c>
      <c r="C656" s="13" t="s">
        <v>7</v>
      </c>
      <c r="D656" s="15">
        <v>1.8371199999999999</v>
      </c>
      <c r="E656" s="13" t="s">
        <v>411</v>
      </c>
      <c r="F656" s="13" t="s">
        <v>63</v>
      </c>
      <c r="G656" s="13" t="s">
        <v>412</v>
      </c>
      <c r="H656" s="13" t="s">
        <v>413</v>
      </c>
    </row>
    <row r="657" spans="1:8">
      <c r="A657" s="10" t="s">
        <v>138</v>
      </c>
      <c r="B657" s="11">
        <v>2019</v>
      </c>
      <c r="C657" s="10" t="s">
        <v>7</v>
      </c>
      <c r="D657" s="12">
        <v>1.84365</v>
      </c>
      <c r="E657" s="10" t="s">
        <v>411</v>
      </c>
      <c r="F657" s="10" t="s">
        <v>63</v>
      </c>
      <c r="G657" s="10" t="s">
        <v>412</v>
      </c>
      <c r="H657" s="10" t="s">
        <v>413</v>
      </c>
    </row>
    <row r="658" spans="1:8">
      <c r="A658" s="13" t="s">
        <v>138</v>
      </c>
      <c r="B658" s="14">
        <v>2020</v>
      </c>
      <c r="C658" s="13" t="s">
        <v>7</v>
      </c>
      <c r="D658" s="15">
        <v>1.8482799999999999</v>
      </c>
      <c r="E658" s="13" t="s">
        <v>411</v>
      </c>
      <c r="F658" s="13" t="s">
        <v>63</v>
      </c>
      <c r="G658" s="13" t="s">
        <v>412</v>
      </c>
      <c r="H658" s="13" t="s">
        <v>413</v>
      </c>
    </row>
    <row r="659" spans="1:8">
      <c r="A659" s="10" t="s">
        <v>138</v>
      </c>
      <c r="B659" s="11">
        <v>2021</v>
      </c>
      <c r="C659" s="10" t="s">
        <v>7</v>
      </c>
      <c r="D659" s="12">
        <v>1.9266799999999997</v>
      </c>
      <c r="E659" s="10" t="s">
        <v>411</v>
      </c>
      <c r="F659" s="10" t="s">
        <v>63</v>
      </c>
      <c r="G659" s="10" t="s">
        <v>412</v>
      </c>
      <c r="H659" s="10" t="s">
        <v>413</v>
      </c>
    </row>
    <row r="660" spans="1:8">
      <c r="A660" s="13" t="s">
        <v>138</v>
      </c>
      <c r="B660" s="14">
        <v>2022</v>
      </c>
      <c r="C660" s="13" t="s">
        <v>7</v>
      </c>
      <c r="D660" s="15">
        <v>1.9574400000000001</v>
      </c>
      <c r="E660" s="13" t="s">
        <v>411</v>
      </c>
      <c r="F660" s="13" t="s">
        <v>63</v>
      </c>
      <c r="G660" s="13" t="s">
        <v>412</v>
      </c>
      <c r="H660" s="13" t="s">
        <v>413</v>
      </c>
    </row>
    <row r="661" spans="1:8">
      <c r="A661" s="10" t="s">
        <v>138</v>
      </c>
      <c r="B661" s="11">
        <v>2023</v>
      </c>
      <c r="C661" s="10" t="s">
        <v>7</v>
      </c>
      <c r="D661" s="12">
        <v>1.9585300000000001</v>
      </c>
      <c r="E661" s="10" t="s">
        <v>411</v>
      </c>
      <c r="F661" s="10" t="s">
        <v>63</v>
      </c>
      <c r="G661" s="10" t="s">
        <v>412</v>
      </c>
      <c r="H661" s="10" t="s">
        <v>413</v>
      </c>
    </row>
    <row r="662" spans="1:8">
      <c r="A662" s="13" t="s">
        <v>138</v>
      </c>
      <c r="B662" s="14">
        <v>2024</v>
      </c>
      <c r="C662" s="13" t="s">
        <v>7</v>
      </c>
      <c r="D662" s="15">
        <v>1.9629700000000001</v>
      </c>
      <c r="E662" s="13" t="s">
        <v>411</v>
      </c>
      <c r="F662" s="13" t="s">
        <v>63</v>
      </c>
      <c r="G662" s="13" t="s">
        <v>412</v>
      </c>
      <c r="H662" s="13" t="s">
        <v>413</v>
      </c>
    </row>
    <row r="663" spans="1:8">
      <c r="A663" s="10" t="s">
        <v>138</v>
      </c>
      <c r="B663" s="11">
        <v>2018</v>
      </c>
      <c r="C663" s="10" t="s">
        <v>7</v>
      </c>
      <c r="D663" s="12">
        <v>4.5439999999999994E-2</v>
      </c>
      <c r="E663" s="10" t="s">
        <v>411</v>
      </c>
      <c r="F663" s="10" t="s">
        <v>63</v>
      </c>
      <c r="G663" s="10" t="s">
        <v>412</v>
      </c>
      <c r="H663" s="10" t="s">
        <v>413</v>
      </c>
    </row>
    <row r="664" spans="1:8">
      <c r="A664" s="13" t="s">
        <v>138</v>
      </c>
      <c r="B664" s="14">
        <v>2019</v>
      </c>
      <c r="C664" s="13" t="s">
        <v>7</v>
      </c>
      <c r="D664" s="15">
        <v>4.7289999999999999E-2</v>
      </c>
      <c r="E664" s="13" t="s">
        <v>411</v>
      </c>
      <c r="F664" s="13" t="s">
        <v>63</v>
      </c>
      <c r="G664" s="13" t="s">
        <v>412</v>
      </c>
      <c r="H664" s="13" t="s">
        <v>413</v>
      </c>
    </row>
    <row r="665" spans="1:8">
      <c r="A665" s="10" t="s">
        <v>138</v>
      </c>
      <c r="B665" s="11">
        <v>2020</v>
      </c>
      <c r="C665" s="10" t="s">
        <v>7</v>
      </c>
      <c r="D665" s="12">
        <v>4.607E-2</v>
      </c>
      <c r="E665" s="10" t="s">
        <v>411</v>
      </c>
      <c r="F665" s="10" t="s">
        <v>63</v>
      </c>
      <c r="G665" s="10" t="s">
        <v>412</v>
      </c>
      <c r="H665" s="10" t="s">
        <v>413</v>
      </c>
    </row>
    <row r="666" spans="1:8">
      <c r="A666" s="13" t="s">
        <v>138</v>
      </c>
      <c r="B666" s="14">
        <v>2021</v>
      </c>
      <c r="C666" s="13" t="s">
        <v>7</v>
      </c>
      <c r="D666" s="15">
        <v>3.6459999999999999E-2</v>
      </c>
      <c r="E666" s="13" t="s">
        <v>411</v>
      </c>
      <c r="F666" s="13" t="s">
        <v>63</v>
      </c>
      <c r="G666" s="13" t="s">
        <v>412</v>
      </c>
      <c r="H666" s="13" t="s">
        <v>413</v>
      </c>
    </row>
    <row r="667" spans="1:8">
      <c r="A667" s="10" t="s">
        <v>138</v>
      </c>
      <c r="B667" s="11">
        <v>2022</v>
      </c>
      <c r="C667" s="10" t="s">
        <v>7</v>
      </c>
      <c r="D667" s="12">
        <v>3.6289999999999996E-2</v>
      </c>
      <c r="E667" s="10" t="s">
        <v>411</v>
      </c>
      <c r="F667" s="10" t="s">
        <v>63</v>
      </c>
      <c r="G667" s="10" t="s">
        <v>412</v>
      </c>
      <c r="H667" s="10" t="s">
        <v>413</v>
      </c>
    </row>
    <row r="668" spans="1:8">
      <c r="A668" s="13" t="s">
        <v>138</v>
      </c>
      <c r="B668" s="14">
        <v>2023</v>
      </c>
      <c r="C668" s="13" t="s">
        <v>7</v>
      </c>
      <c r="D668" s="15">
        <v>3.6510000000000001E-2</v>
      </c>
      <c r="E668" s="13" t="s">
        <v>411</v>
      </c>
      <c r="F668" s="13" t="s">
        <v>63</v>
      </c>
      <c r="G668" s="13" t="s">
        <v>412</v>
      </c>
      <c r="H668" s="13" t="s">
        <v>413</v>
      </c>
    </row>
    <row r="669" spans="1:8">
      <c r="A669" s="10" t="s">
        <v>138</v>
      </c>
      <c r="B669" s="11">
        <v>2024</v>
      </c>
      <c r="C669" s="10" t="s">
        <v>7</v>
      </c>
      <c r="D669" s="12">
        <v>3.6510000000000001E-2</v>
      </c>
      <c r="E669" s="10" t="s">
        <v>411</v>
      </c>
      <c r="F669" s="10" t="s">
        <v>63</v>
      </c>
      <c r="G669" s="10" t="s">
        <v>412</v>
      </c>
      <c r="H669" s="10" t="s">
        <v>413</v>
      </c>
    </row>
    <row r="670" spans="1:8">
      <c r="A670" s="13" t="s">
        <v>138</v>
      </c>
      <c r="B670" s="14">
        <v>2000</v>
      </c>
      <c r="C670" s="13" t="s">
        <v>7</v>
      </c>
      <c r="D670" s="15">
        <v>9.1999999999999998E-2</v>
      </c>
      <c r="E670" s="13" t="s">
        <v>411</v>
      </c>
      <c r="F670" s="13" t="s">
        <v>63</v>
      </c>
      <c r="G670" s="13" t="s">
        <v>412</v>
      </c>
      <c r="H670" s="13" t="s">
        <v>413</v>
      </c>
    </row>
    <row r="671" spans="1:8">
      <c r="A671" s="10" t="s">
        <v>138</v>
      </c>
      <c r="B671" s="11">
        <v>2001</v>
      </c>
      <c r="C671" s="10" t="s">
        <v>7</v>
      </c>
      <c r="D671" s="12">
        <v>0.13900000000000001</v>
      </c>
      <c r="E671" s="10" t="s">
        <v>411</v>
      </c>
      <c r="F671" s="10" t="s">
        <v>63</v>
      </c>
      <c r="G671" s="10" t="s">
        <v>412</v>
      </c>
      <c r="H671" s="10" t="s">
        <v>413</v>
      </c>
    </row>
    <row r="672" spans="1:8">
      <c r="A672" s="13" t="s">
        <v>138</v>
      </c>
      <c r="B672" s="14">
        <v>2002</v>
      </c>
      <c r="C672" s="13" t="s">
        <v>7</v>
      </c>
      <c r="D672" s="15">
        <v>0.14849999999999999</v>
      </c>
      <c r="E672" s="13" t="s">
        <v>411</v>
      </c>
      <c r="F672" s="13" t="s">
        <v>63</v>
      </c>
      <c r="G672" s="13" t="s">
        <v>412</v>
      </c>
      <c r="H672" s="13" t="s">
        <v>413</v>
      </c>
    </row>
    <row r="673" spans="1:8">
      <c r="A673" s="10" t="s">
        <v>138</v>
      </c>
      <c r="B673" s="11">
        <v>2003</v>
      </c>
      <c r="C673" s="10" t="s">
        <v>7</v>
      </c>
      <c r="D673" s="12">
        <v>0.16200000000000001</v>
      </c>
      <c r="E673" s="10" t="s">
        <v>411</v>
      </c>
      <c r="F673" s="10" t="s">
        <v>63</v>
      </c>
      <c r="G673" s="10" t="s">
        <v>412</v>
      </c>
      <c r="H673" s="10" t="s">
        <v>413</v>
      </c>
    </row>
    <row r="674" spans="1:8">
      <c r="A674" s="13" t="s">
        <v>138</v>
      </c>
      <c r="B674" s="14">
        <v>2004</v>
      </c>
      <c r="C674" s="13" t="s">
        <v>7</v>
      </c>
      <c r="D674" s="15">
        <v>0.16300000000000001</v>
      </c>
      <c r="E674" s="13" t="s">
        <v>411</v>
      </c>
      <c r="F674" s="13" t="s">
        <v>63</v>
      </c>
      <c r="G674" s="13" t="s">
        <v>412</v>
      </c>
      <c r="H674" s="13" t="s">
        <v>413</v>
      </c>
    </row>
    <row r="675" spans="1:8">
      <c r="A675" s="10" t="s">
        <v>138</v>
      </c>
      <c r="B675" s="11">
        <v>2005</v>
      </c>
      <c r="C675" s="10" t="s">
        <v>7</v>
      </c>
      <c r="D675" s="12">
        <v>0.17</v>
      </c>
      <c r="E675" s="10" t="s">
        <v>411</v>
      </c>
      <c r="F675" s="10" t="s">
        <v>63</v>
      </c>
      <c r="G675" s="10" t="s">
        <v>412</v>
      </c>
      <c r="H675" s="10" t="s">
        <v>413</v>
      </c>
    </row>
    <row r="676" spans="1:8">
      <c r="A676" s="13" t="s">
        <v>138</v>
      </c>
      <c r="B676" s="14">
        <v>2006</v>
      </c>
      <c r="C676" s="13" t="s">
        <v>7</v>
      </c>
      <c r="D676" s="15">
        <v>0.17599999999999999</v>
      </c>
      <c r="E676" s="13" t="s">
        <v>411</v>
      </c>
      <c r="F676" s="13" t="s">
        <v>63</v>
      </c>
      <c r="G676" s="13" t="s">
        <v>412</v>
      </c>
      <c r="H676" s="13" t="s">
        <v>413</v>
      </c>
    </row>
    <row r="677" spans="1:8">
      <c r="A677" s="10" t="s">
        <v>138</v>
      </c>
      <c r="B677" s="11">
        <v>2007</v>
      </c>
      <c r="C677" s="10" t="s">
        <v>7</v>
      </c>
      <c r="D677" s="12">
        <v>0.17599999999999999</v>
      </c>
      <c r="E677" s="10" t="s">
        <v>411</v>
      </c>
      <c r="F677" s="10" t="s">
        <v>63</v>
      </c>
      <c r="G677" s="10" t="s">
        <v>412</v>
      </c>
      <c r="H677" s="10" t="s">
        <v>413</v>
      </c>
    </row>
    <row r="678" spans="1:8">
      <c r="A678" s="13" t="s">
        <v>138</v>
      </c>
      <c r="B678" s="14">
        <v>2008</v>
      </c>
      <c r="C678" s="13" t="s">
        <v>7</v>
      </c>
      <c r="D678" s="15">
        <v>0.184</v>
      </c>
      <c r="E678" s="13" t="s">
        <v>411</v>
      </c>
      <c r="F678" s="13" t="s">
        <v>63</v>
      </c>
      <c r="G678" s="13" t="s">
        <v>412</v>
      </c>
      <c r="H678" s="13" t="s">
        <v>413</v>
      </c>
    </row>
    <row r="679" spans="1:8">
      <c r="A679" s="10" t="s">
        <v>138</v>
      </c>
      <c r="B679" s="11">
        <v>2009</v>
      </c>
      <c r="C679" s="10" t="s">
        <v>7</v>
      </c>
      <c r="D679" s="12">
        <v>0.1905</v>
      </c>
      <c r="E679" s="10" t="s">
        <v>411</v>
      </c>
      <c r="F679" s="10" t="s">
        <v>63</v>
      </c>
      <c r="G679" s="10" t="s">
        <v>412</v>
      </c>
      <c r="H679" s="10" t="s">
        <v>413</v>
      </c>
    </row>
    <row r="680" spans="1:8">
      <c r="A680" s="13" t="s">
        <v>138</v>
      </c>
      <c r="B680" s="14">
        <v>2010</v>
      </c>
      <c r="C680" s="13" t="s">
        <v>7</v>
      </c>
      <c r="D680" s="15">
        <v>0.20649999999999999</v>
      </c>
      <c r="E680" s="13" t="s">
        <v>411</v>
      </c>
      <c r="F680" s="13" t="s">
        <v>63</v>
      </c>
      <c r="G680" s="13" t="s">
        <v>412</v>
      </c>
      <c r="H680" s="13" t="s">
        <v>413</v>
      </c>
    </row>
    <row r="681" spans="1:8">
      <c r="A681" s="10" t="s">
        <v>138</v>
      </c>
      <c r="B681" s="11">
        <v>2011</v>
      </c>
      <c r="C681" s="10" t="s">
        <v>7</v>
      </c>
      <c r="D681" s="12">
        <v>0.251</v>
      </c>
      <c r="E681" s="10" t="s">
        <v>411</v>
      </c>
      <c r="F681" s="10" t="s">
        <v>63</v>
      </c>
      <c r="G681" s="10" t="s">
        <v>412</v>
      </c>
      <c r="H681" s="10" t="s">
        <v>413</v>
      </c>
    </row>
    <row r="682" spans="1:8">
      <c r="A682" s="13" t="s">
        <v>138</v>
      </c>
      <c r="B682" s="14">
        <v>2012</v>
      </c>
      <c r="C682" s="13" t="s">
        <v>7</v>
      </c>
      <c r="D682" s="15">
        <v>0.25600000000000001</v>
      </c>
      <c r="E682" s="13" t="s">
        <v>411</v>
      </c>
      <c r="F682" s="13" t="s">
        <v>63</v>
      </c>
      <c r="G682" s="13" t="s">
        <v>412</v>
      </c>
      <c r="H682" s="13" t="s">
        <v>413</v>
      </c>
    </row>
    <row r="683" spans="1:8">
      <c r="A683" s="10" t="s">
        <v>138</v>
      </c>
      <c r="B683" s="11">
        <v>2013</v>
      </c>
      <c r="C683" s="10" t="s">
        <v>7</v>
      </c>
      <c r="D683" s="12">
        <v>0.27250000000000002</v>
      </c>
      <c r="E683" s="10" t="s">
        <v>411</v>
      </c>
      <c r="F683" s="10" t="s">
        <v>63</v>
      </c>
      <c r="G683" s="10" t="s">
        <v>412</v>
      </c>
      <c r="H683" s="10" t="s">
        <v>413</v>
      </c>
    </row>
    <row r="684" spans="1:8">
      <c r="A684" s="13" t="s">
        <v>138</v>
      </c>
      <c r="B684" s="14">
        <v>2014</v>
      </c>
      <c r="C684" s="13" t="s">
        <v>7</v>
      </c>
      <c r="D684" s="15">
        <v>0.34</v>
      </c>
      <c r="E684" s="13" t="s">
        <v>411</v>
      </c>
      <c r="F684" s="13" t="s">
        <v>63</v>
      </c>
      <c r="G684" s="13" t="s">
        <v>412</v>
      </c>
      <c r="H684" s="13" t="s">
        <v>413</v>
      </c>
    </row>
    <row r="685" spans="1:8">
      <c r="A685" s="10" t="s">
        <v>138</v>
      </c>
      <c r="B685" s="11">
        <v>2015</v>
      </c>
      <c r="C685" s="10" t="s">
        <v>7</v>
      </c>
      <c r="D685" s="12">
        <v>0.46500000000000002</v>
      </c>
      <c r="E685" s="10" t="s">
        <v>411</v>
      </c>
      <c r="F685" s="10" t="s">
        <v>63</v>
      </c>
      <c r="G685" s="10" t="s">
        <v>412</v>
      </c>
      <c r="H685" s="10" t="s">
        <v>413</v>
      </c>
    </row>
    <row r="686" spans="1:8">
      <c r="A686" s="13" t="s">
        <v>138</v>
      </c>
      <c r="B686" s="14">
        <v>2016</v>
      </c>
      <c r="C686" s="13" t="s">
        <v>7</v>
      </c>
      <c r="D686" s="15">
        <v>0.51405000000000001</v>
      </c>
      <c r="E686" s="13" t="s">
        <v>411</v>
      </c>
      <c r="F686" s="13" t="s">
        <v>63</v>
      </c>
      <c r="G686" s="13" t="s">
        <v>412</v>
      </c>
      <c r="H686" s="13" t="s">
        <v>413</v>
      </c>
    </row>
    <row r="687" spans="1:8">
      <c r="A687" s="10" t="s">
        <v>138</v>
      </c>
      <c r="B687" s="11">
        <v>2017</v>
      </c>
      <c r="C687" s="10" t="s">
        <v>7</v>
      </c>
      <c r="D687" s="12">
        <v>0.54537500000000005</v>
      </c>
      <c r="E687" s="10" t="s">
        <v>411</v>
      </c>
      <c r="F687" s="10" t="s">
        <v>63</v>
      </c>
      <c r="G687" s="10" t="s">
        <v>412</v>
      </c>
      <c r="H687" s="10" t="s">
        <v>413</v>
      </c>
    </row>
    <row r="688" spans="1:8">
      <c r="A688" s="13" t="s">
        <v>138</v>
      </c>
      <c r="B688" s="14">
        <v>2018</v>
      </c>
      <c r="C688" s="13" t="s">
        <v>7</v>
      </c>
      <c r="D688" s="15">
        <v>0.56826999999999994</v>
      </c>
      <c r="E688" s="13" t="s">
        <v>411</v>
      </c>
      <c r="F688" s="13" t="s">
        <v>63</v>
      </c>
      <c r="G688" s="13" t="s">
        <v>412</v>
      </c>
      <c r="H688" s="13" t="s">
        <v>413</v>
      </c>
    </row>
    <row r="689" spans="1:8">
      <c r="A689" s="10" t="s">
        <v>138</v>
      </c>
      <c r="B689" s="11">
        <v>2019</v>
      </c>
      <c r="C689" s="10" t="s">
        <v>7</v>
      </c>
      <c r="D689" s="12">
        <v>0.65479100000000001</v>
      </c>
      <c r="E689" s="10" t="s">
        <v>411</v>
      </c>
      <c r="F689" s="10" t="s">
        <v>63</v>
      </c>
      <c r="G689" s="10" t="s">
        <v>412</v>
      </c>
      <c r="H689" s="10" t="s">
        <v>413</v>
      </c>
    </row>
    <row r="690" spans="1:8">
      <c r="A690" s="13" t="s">
        <v>138</v>
      </c>
      <c r="B690" s="14">
        <v>2020</v>
      </c>
      <c r="C690" s="13" t="s">
        <v>7</v>
      </c>
      <c r="D690" s="15">
        <v>0.71736999999999995</v>
      </c>
      <c r="E690" s="13" t="s">
        <v>411</v>
      </c>
      <c r="F690" s="13" t="s">
        <v>63</v>
      </c>
      <c r="G690" s="13" t="s">
        <v>412</v>
      </c>
      <c r="H690" s="13" t="s">
        <v>413</v>
      </c>
    </row>
    <row r="691" spans="1:8">
      <c r="A691" s="10" t="s">
        <v>138</v>
      </c>
      <c r="B691" s="11">
        <v>2021</v>
      </c>
      <c r="C691" s="10" t="s">
        <v>7</v>
      </c>
      <c r="D691" s="12">
        <v>0.725356</v>
      </c>
      <c r="E691" s="10" t="s">
        <v>411</v>
      </c>
      <c r="F691" s="10" t="s">
        <v>63</v>
      </c>
      <c r="G691" s="10" t="s">
        <v>412</v>
      </c>
      <c r="H691" s="10" t="s">
        <v>413</v>
      </c>
    </row>
    <row r="692" spans="1:8">
      <c r="A692" s="13" t="s">
        <v>138</v>
      </c>
      <c r="B692" s="14">
        <v>2022</v>
      </c>
      <c r="C692" s="13" t="s">
        <v>7</v>
      </c>
      <c r="D692" s="15">
        <v>0.75536000000000003</v>
      </c>
      <c r="E692" s="13" t="s">
        <v>411</v>
      </c>
      <c r="F692" s="13" t="s">
        <v>63</v>
      </c>
      <c r="G692" s="13" t="s">
        <v>412</v>
      </c>
      <c r="H692" s="13" t="s">
        <v>413</v>
      </c>
    </row>
    <row r="693" spans="1:8">
      <c r="A693" s="10" t="s">
        <v>138</v>
      </c>
      <c r="B693" s="11">
        <v>2023</v>
      </c>
      <c r="C693" s="10" t="s">
        <v>7</v>
      </c>
      <c r="D693" s="12">
        <v>0.77903</v>
      </c>
      <c r="E693" s="10" t="s">
        <v>411</v>
      </c>
      <c r="F693" s="10" t="s">
        <v>63</v>
      </c>
      <c r="G693" s="10" t="s">
        <v>412</v>
      </c>
      <c r="H693" s="10" t="s">
        <v>413</v>
      </c>
    </row>
    <row r="694" spans="1:8">
      <c r="A694" s="13" t="s">
        <v>138</v>
      </c>
      <c r="B694" s="14">
        <v>2024</v>
      </c>
      <c r="C694" s="13" t="s">
        <v>7</v>
      </c>
      <c r="D694" s="15">
        <v>0.80877999999999994</v>
      </c>
      <c r="E694" s="13" t="s">
        <v>411</v>
      </c>
      <c r="F694" s="13" t="s">
        <v>63</v>
      </c>
      <c r="G694" s="13" t="s">
        <v>412</v>
      </c>
      <c r="H694" s="13" t="s">
        <v>413</v>
      </c>
    </row>
    <row r="695" spans="1:8">
      <c r="A695" s="10" t="s">
        <v>138</v>
      </c>
      <c r="B695" s="11">
        <v>2000</v>
      </c>
      <c r="C695" s="10" t="s">
        <v>7</v>
      </c>
      <c r="D695" s="12">
        <v>0.13300000000000001</v>
      </c>
      <c r="E695" s="10" t="s">
        <v>411</v>
      </c>
      <c r="F695" s="10" t="s">
        <v>63</v>
      </c>
      <c r="G695" s="10" t="s">
        <v>412</v>
      </c>
      <c r="H695" s="10" t="s">
        <v>413</v>
      </c>
    </row>
    <row r="696" spans="1:8">
      <c r="A696" s="13" t="s">
        <v>138</v>
      </c>
      <c r="B696" s="14">
        <v>2001</v>
      </c>
      <c r="C696" s="13" t="s">
        <v>7</v>
      </c>
      <c r="D696" s="15">
        <v>0.13300000000000001</v>
      </c>
      <c r="E696" s="13" t="s">
        <v>411</v>
      </c>
      <c r="F696" s="13" t="s">
        <v>63</v>
      </c>
      <c r="G696" s="13" t="s">
        <v>412</v>
      </c>
      <c r="H696" s="13" t="s">
        <v>413</v>
      </c>
    </row>
    <row r="697" spans="1:8">
      <c r="A697" s="10" t="s">
        <v>138</v>
      </c>
      <c r="B697" s="11">
        <v>2002</v>
      </c>
      <c r="C697" s="10" t="s">
        <v>7</v>
      </c>
      <c r="D697" s="12">
        <v>0.155</v>
      </c>
      <c r="E697" s="10" t="s">
        <v>411</v>
      </c>
      <c r="F697" s="10" t="s">
        <v>63</v>
      </c>
      <c r="G697" s="10" t="s">
        <v>412</v>
      </c>
      <c r="H697" s="10" t="s">
        <v>413</v>
      </c>
    </row>
    <row r="698" spans="1:8">
      <c r="A698" s="13" t="s">
        <v>138</v>
      </c>
      <c r="B698" s="14">
        <v>2003</v>
      </c>
      <c r="C698" s="13" t="s">
        <v>7</v>
      </c>
      <c r="D698" s="15">
        <v>0.254</v>
      </c>
      <c r="E698" s="13" t="s">
        <v>411</v>
      </c>
      <c r="F698" s="13" t="s">
        <v>63</v>
      </c>
      <c r="G698" s="13" t="s">
        <v>412</v>
      </c>
      <c r="H698" s="13" t="s">
        <v>413</v>
      </c>
    </row>
    <row r="699" spans="1:8">
      <c r="A699" s="10" t="s">
        <v>138</v>
      </c>
      <c r="B699" s="11">
        <v>2004</v>
      </c>
      <c r="C699" s="10" t="s">
        <v>7</v>
      </c>
      <c r="D699" s="12">
        <v>0.30099999999999999</v>
      </c>
      <c r="E699" s="10" t="s">
        <v>411</v>
      </c>
      <c r="F699" s="10" t="s">
        <v>63</v>
      </c>
      <c r="G699" s="10" t="s">
        <v>412</v>
      </c>
      <c r="H699" s="10" t="s">
        <v>413</v>
      </c>
    </row>
    <row r="700" spans="1:8">
      <c r="A700" s="13" t="s">
        <v>138</v>
      </c>
      <c r="B700" s="14">
        <v>2005</v>
      </c>
      <c r="C700" s="13" t="s">
        <v>7</v>
      </c>
      <c r="D700" s="15">
        <v>0.47399999999999998</v>
      </c>
      <c r="E700" s="13" t="s">
        <v>411</v>
      </c>
      <c r="F700" s="13" t="s">
        <v>63</v>
      </c>
      <c r="G700" s="13" t="s">
        <v>412</v>
      </c>
      <c r="H700" s="13" t="s">
        <v>413</v>
      </c>
    </row>
    <row r="701" spans="1:8">
      <c r="A701" s="10" t="s">
        <v>138</v>
      </c>
      <c r="B701" s="11">
        <v>2006</v>
      </c>
      <c r="C701" s="10" t="s">
        <v>7</v>
      </c>
      <c r="D701" s="12">
        <v>0.50800000000000001</v>
      </c>
      <c r="E701" s="10" t="s">
        <v>411</v>
      </c>
      <c r="F701" s="10" t="s">
        <v>63</v>
      </c>
      <c r="G701" s="10" t="s">
        <v>412</v>
      </c>
      <c r="H701" s="10" t="s">
        <v>413</v>
      </c>
    </row>
    <row r="702" spans="1:8">
      <c r="A702" s="13" t="s">
        <v>138</v>
      </c>
      <c r="B702" s="14">
        <v>2007</v>
      </c>
      <c r="C702" s="13" t="s">
        <v>7</v>
      </c>
      <c r="D702" s="15">
        <v>0.52600000000000002</v>
      </c>
      <c r="E702" s="13" t="s">
        <v>411</v>
      </c>
      <c r="F702" s="13" t="s">
        <v>63</v>
      </c>
      <c r="G702" s="13" t="s">
        <v>412</v>
      </c>
      <c r="H702" s="13" t="s">
        <v>413</v>
      </c>
    </row>
    <row r="703" spans="1:8">
      <c r="A703" s="10" t="s">
        <v>138</v>
      </c>
      <c r="B703" s="11">
        <v>2008</v>
      </c>
      <c r="C703" s="10" t="s">
        <v>7</v>
      </c>
      <c r="D703" s="12">
        <v>0.48599999999999999</v>
      </c>
      <c r="E703" s="10" t="s">
        <v>411</v>
      </c>
      <c r="F703" s="10" t="s">
        <v>63</v>
      </c>
      <c r="G703" s="10" t="s">
        <v>412</v>
      </c>
      <c r="H703" s="10" t="s">
        <v>413</v>
      </c>
    </row>
    <row r="704" spans="1:8">
      <c r="A704" s="13" t="s">
        <v>138</v>
      </c>
      <c r="B704" s="14">
        <v>2009</v>
      </c>
      <c r="C704" s="13" t="s">
        <v>7</v>
      </c>
      <c r="D704" s="15">
        <v>0.58699999999999997</v>
      </c>
      <c r="E704" s="13" t="s">
        <v>411</v>
      </c>
      <c r="F704" s="13" t="s">
        <v>63</v>
      </c>
      <c r="G704" s="13" t="s">
        <v>412</v>
      </c>
      <c r="H704" s="13" t="s">
        <v>413</v>
      </c>
    </row>
    <row r="705" spans="1:8">
      <c r="A705" s="10" t="s">
        <v>138</v>
      </c>
      <c r="B705" s="11">
        <v>2010</v>
      </c>
      <c r="C705" s="10" t="s">
        <v>7</v>
      </c>
      <c r="D705" s="12">
        <v>0.70899999999999996</v>
      </c>
      <c r="E705" s="10" t="s">
        <v>411</v>
      </c>
      <c r="F705" s="10" t="s">
        <v>63</v>
      </c>
      <c r="G705" s="10" t="s">
        <v>412</v>
      </c>
      <c r="H705" s="10" t="s">
        <v>413</v>
      </c>
    </row>
    <row r="706" spans="1:8">
      <c r="A706" s="13" t="s">
        <v>138</v>
      </c>
      <c r="B706" s="14">
        <v>2011</v>
      </c>
      <c r="C706" s="13" t="s">
        <v>7</v>
      </c>
      <c r="D706" s="15">
        <v>1.627</v>
      </c>
      <c r="E706" s="13" t="s">
        <v>411</v>
      </c>
      <c r="F706" s="13" t="s">
        <v>63</v>
      </c>
      <c r="G706" s="13" t="s">
        <v>412</v>
      </c>
      <c r="H706" s="13" t="s">
        <v>413</v>
      </c>
    </row>
    <row r="707" spans="1:8">
      <c r="A707" s="10" t="s">
        <v>138</v>
      </c>
      <c r="B707" s="11">
        <v>2012</v>
      </c>
      <c r="C707" s="10" t="s">
        <v>7</v>
      </c>
      <c r="D707" s="12">
        <v>1.4850000000000001</v>
      </c>
      <c r="E707" s="10" t="s">
        <v>411</v>
      </c>
      <c r="F707" s="10" t="s">
        <v>63</v>
      </c>
      <c r="G707" s="10" t="s">
        <v>412</v>
      </c>
      <c r="H707" s="10" t="s">
        <v>413</v>
      </c>
    </row>
    <row r="708" spans="1:8">
      <c r="A708" s="13" t="s">
        <v>138</v>
      </c>
      <c r="B708" s="14">
        <v>2013</v>
      </c>
      <c r="C708" s="13" t="s">
        <v>7</v>
      </c>
      <c r="D708" s="15">
        <v>2.1040000000000001</v>
      </c>
      <c r="E708" s="13" t="s">
        <v>411</v>
      </c>
      <c r="F708" s="13" t="s">
        <v>63</v>
      </c>
      <c r="G708" s="13" t="s">
        <v>412</v>
      </c>
      <c r="H708" s="13" t="s">
        <v>413</v>
      </c>
    </row>
    <row r="709" spans="1:8">
      <c r="A709" s="10" t="s">
        <v>138</v>
      </c>
      <c r="B709" s="11">
        <v>2014</v>
      </c>
      <c r="C709" s="10" t="s">
        <v>7</v>
      </c>
      <c r="D709" s="12">
        <v>2.3690000000000002</v>
      </c>
      <c r="E709" s="10" t="s">
        <v>411</v>
      </c>
      <c r="F709" s="10" t="s">
        <v>63</v>
      </c>
      <c r="G709" s="10" t="s">
        <v>412</v>
      </c>
      <c r="H709" s="10" t="s">
        <v>413</v>
      </c>
    </row>
    <row r="710" spans="1:8">
      <c r="A710" s="13" t="s">
        <v>138</v>
      </c>
      <c r="B710" s="14">
        <v>2015</v>
      </c>
      <c r="C710" s="13" t="s">
        <v>7</v>
      </c>
      <c r="D710" s="15">
        <v>2.7149999999999999</v>
      </c>
      <c r="E710" s="13" t="s">
        <v>411</v>
      </c>
      <c r="F710" s="13" t="s">
        <v>63</v>
      </c>
      <c r="G710" s="13" t="s">
        <v>412</v>
      </c>
      <c r="H710" s="13" t="s">
        <v>413</v>
      </c>
    </row>
    <row r="711" spans="1:8">
      <c r="A711" s="10" t="s">
        <v>138</v>
      </c>
      <c r="B711" s="11">
        <v>2016</v>
      </c>
      <c r="C711" s="10" t="s">
        <v>7</v>
      </c>
      <c r="D711" s="12">
        <v>2.9628699999999997</v>
      </c>
      <c r="E711" s="10" t="s">
        <v>411</v>
      </c>
      <c r="F711" s="10" t="s">
        <v>63</v>
      </c>
      <c r="G711" s="10" t="s">
        <v>412</v>
      </c>
      <c r="H711" s="10" t="s">
        <v>413</v>
      </c>
    </row>
    <row r="712" spans="1:8">
      <c r="A712" s="13" t="s">
        <v>138</v>
      </c>
      <c r="B712" s="14">
        <v>2017</v>
      </c>
      <c r="C712" s="13" t="s">
        <v>7</v>
      </c>
      <c r="D712" s="15">
        <v>3.1495100000000003</v>
      </c>
      <c r="E712" s="13" t="s">
        <v>411</v>
      </c>
      <c r="F712" s="13" t="s">
        <v>63</v>
      </c>
      <c r="G712" s="13" t="s">
        <v>412</v>
      </c>
      <c r="H712" s="13" t="s">
        <v>413</v>
      </c>
    </row>
    <row r="713" spans="1:8">
      <c r="A713" s="10" t="s">
        <v>138</v>
      </c>
      <c r="B713" s="11">
        <v>2018</v>
      </c>
      <c r="C713" s="10" t="s">
        <v>7</v>
      </c>
      <c r="D713" s="12">
        <v>4.5925900000000004</v>
      </c>
      <c r="E713" s="10" t="s">
        <v>411</v>
      </c>
      <c r="F713" s="10" t="s">
        <v>63</v>
      </c>
      <c r="G713" s="10" t="s">
        <v>412</v>
      </c>
      <c r="H713" s="10" t="s">
        <v>413</v>
      </c>
    </row>
    <row r="714" spans="1:8">
      <c r="A714" s="13" t="s">
        <v>138</v>
      </c>
      <c r="B714" s="14">
        <v>2019</v>
      </c>
      <c r="C714" s="13" t="s">
        <v>7</v>
      </c>
      <c r="D714" s="15">
        <v>4.6838100000000003</v>
      </c>
      <c r="E714" s="13" t="s">
        <v>411</v>
      </c>
      <c r="F714" s="13" t="s">
        <v>63</v>
      </c>
      <c r="G714" s="13" t="s">
        <v>412</v>
      </c>
      <c r="H714" s="13" t="s">
        <v>413</v>
      </c>
    </row>
    <row r="715" spans="1:8">
      <c r="A715" s="10" t="s">
        <v>138</v>
      </c>
      <c r="B715" s="11">
        <v>2020</v>
      </c>
      <c r="C715" s="10" t="s">
        <v>7</v>
      </c>
      <c r="D715" s="12">
        <v>4.6934199999999997</v>
      </c>
      <c r="E715" s="10" t="s">
        <v>411</v>
      </c>
      <c r="F715" s="10" t="s">
        <v>63</v>
      </c>
      <c r="G715" s="10" t="s">
        <v>412</v>
      </c>
      <c r="H715" s="10" t="s">
        <v>413</v>
      </c>
    </row>
    <row r="716" spans="1:8">
      <c r="A716" s="13" t="s">
        <v>138</v>
      </c>
      <c r="B716" s="14">
        <v>2021</v>
      </c>
      <c r="C716" s="13" t="s">
        <v>7</v>
      </c>
      <c r="D716" s="15">
        <v>4.7021699999999997</v>
      </c>
      <c r="E716" s="13" t="s">
        <v>411</v>
      </c>
      <c r="F716" s="13" t="s">
        <v>63</v>
      </c>
      <c r="G716" s="13" t="s">
        <v>412</v>
      </c>
      <c r="H716" s="13" t="s">
        <v>413</v>
      </c>
    </row>
    <row r="717" spans="1:8">
      <c r="A717" s="10" t="s">
        <v>138</v>
      </c>
      <c r="B717" s="11">
        <v>2022</v>
      </c>
      <c r="C717" s="10" t="s">
        <v>7</v>
      </c>
      <c r="D717" s="12">
        <v>4.7142100000000005</v>
      </c>
      <c r="E717" s="10" t="s">
        <v>411</v>
      </c>
      <c r="F717" s="10" t="s">
        <v>63</v>
      </c>
      <c r="G717" s="10" t="s">
        <v>412</v>
      </c>
      <c r="H717" s="10" t="s">
        <v>413</v>
      </c>
    </row>
    <row r="718" spans="1:8">
      <c r="A718" s="13" t="s">
        <v>138</v>
      </c>
      <c r="B718" s="14">
        <v>2023</v>
      </c>
      <c r="C718" s="13" t="s">
        <v>7</v>
      </c>
      <c r="D718" s="15">
        <v>4.7142100000000005</v>
      </c>
      <c r="E718" s="13" t="s">
        <v>411</v>
      </c>
      <c r="F718" s="13" t="s">
        <v>63</v>
      </c>
      <c r="G718" s="13" t="s">
        <v>412</v>
      </c>
      <c r="H718" s="13" t="s">
        <v>413</v>
      </c>
    </row>
    <row r="719" spans="1:8">
      <c r="A719" s="10" t="s">
        <v>138</v>
      </c>
      <c r="B719" s="11">
        <v>2024</v>
      </c>
      <c r="C719" s="10" t="s">
        <v>7</v>
      </c>
      <c r="D719" s="12">
        <v>5.0153999999999996</v>
      </c>
      <c r="E719" s="10" t="s">
        <v>411</v>
      </c>
      <c r="F719" s="10" t="s">
        <v>63</v>
      </c>
      <c r="G719" s="10" t="s">
        <v>412</v>
      </c>
      <c r="H719" s="10" t="s">
        <v>413</v>
      </c>
    </row>
    <row r="720" spans="1:8">
      <c r="A720" s="13" t="s">
        <v>138</v>
      </c>
      <c r="B720" s="14">
        <v>2000</v>
      </c>
      <c r="C720" s="13" t="s">
        <v>135</v>
      </c>
      <c r="D720" s="15">
        <v>2.5550000000000002</v>
      </c>
      <c r="E720" s="13" t="s">
        <v>411</v>
      </c>
      <c r="F720" s="13" t="s">
        <v>73</v>
      </c>
      <c r="G720" s="13" t="s">
        <v>412</v>
      </c>
      <c r="H720" s="13" t="s">
        <v>413</v>
      </c>
    </row>
    <row r="721" spans="1:8">
      <c r="A721" s="10" t="s">
        <v>138</v>
      </c>
      <c r="B721" s="11">
        <v>2001</v>
      </c>
      <c r="C721" s="10" t="s">
        <v>135</v>
      </c>
      <c r="D721" s="12">
        <v>2.87</v>
      </c>
      <c r="E721" s="10" t="s">
        <v>411</v>
      </c>
      <c r="F721" s="10" t="s">
        <v>73</v>
      </c>
      <c r="G721" s="10" t="s">
        <v>412</v>
      </c>
      <c r="H721" s="10" t="s">
        <v>413</v>
      </c>
    </row>
    <row r="722" spans="1:8">
      <c r="A722" s="13" t="s">
        <v>138</v>
      </c>
      <c r="B722" s="14">
        <v>2002</v>
      </c>
      <c r="C722" s="13" t="s">
        <v>135</v>
      </c>
      <c r="D722" s="15">
        <v>3.0459999999999998</v>
      </c>
      <c r="E722" s="13" t="s">
        <v>411</v>
      </c>
      <c r="F722" s="13" t="s">
        <v>73</v>
      </c>
      <c r="G722" s="13" t="s">
        <v>412</v>
      </c>
      <c r="H722" s="13" t="s">
        <v>413</v>
      </c>
    </row>
    <row r="723" spans="1:8">
      <c r="A723" s="10" t="s">
        <v>138</v>
      </c>
      <c r="B723" s="11">
        <v>2003</v>
      </c>
      <c r="C723" s="10" t="s">
        <v>135</v>
      </c>
      <c r="D723" s="12">
        <v>3.609</v>
      </c>
      <c r="E723" s="10" t="s">
        <v>411</v>
      </c>
      <c r="F723" s="10" t="s">
        <v>73</v>
      </c>
      <c r="G723" s="10" t="s">
        <v>412</v>
      </c>
      <c r="H723" s="10" t="s">
        <v>413</v>
      </c>
    </row>
    <row r="724" spans="1:8">
      <c r="A724" s="13" t="s">
        <v>138</v>
      </c>
      <c r="B724" s="14">
        <v>2004</v>
      </c>
      <c r="C724" s="13" t="s">
        <v>135</v>
      </c>
      <c r="D724" s="15">
        <v>4.444</v>
      </c>
      <c r="E724" s="13" t="s">
        <v>411</v>
      </c>
      <c r="F724" s="13" t="s">
        <v>73</v>
      </c>
      <c r="G724" s="13" t="s">
        <v>412</v>
      </c>
      <c r="H724" s="13" t="s">
        <v>413</v>
      </c>
    </row>
    <row r="725" spans="1:8">
      <c r="A725" s="10" t="s">
        <v>138</v>
      </c>
      <c r="B725" s="11">
        <v>2005</v>
      </c>
      <c r="C725" s="10" t="s">
        <v>135</v>
      </c>
      <c r="D725" s="12">
        <v>4.766</v>
      </c>
      <c r="E725" s="10" t="s">
        <v>411</v>
      </c>
      <c r="F725" s="10" t="s">
        <v>73</v>
      </c>
      <c r="G725" s="10" t="s">
        <v>412</v>
      </c>
      <c r="H725" s="10" t="s">
        <v>413</v>
      </c>
    </row>
    <row r="726" spans="1:8">
      <c r="A726" s="13" t="s">
        <v>138</v>
      </c>
      <c r="B726" s="14">
        <v>2006</v>
      </c>
      <c r="C726" s="13" t="s">
        <v>135</v>
      </c>
      <c r="D726" s="15">
        <v>4.8819999999999997</v>
      </c>
      <c r="E726" s="13" t="s">
        <v>411</v>
      </c>
      <c r="F726" s="13" t="s">
        <v>73</v>
      </c>
      <c r="G726" s="13" t="s">
        <v>412</v>
      </c>
      <c r="H726" s="13" t="s">
        <v>413</v>
      </c>
    </row>
    <row r="727" spans="1:8">
      <c r="A727" s="10" t="s">
        <v>138</v>
      </c>
      <c r="B727" s="11">
        <v>2007</v>
      </c>
      <c r="C727" s="10" t="s">
        <v>135</v>
      </c>
      <c r="D727" s="12">
        <v>5.1859999999999999</v>
      </c>
      <c r="E727" s="10" t="s">
        <v>411</v>
      </c>
      <c r="F727" s="10" t="s">
        <v>73</v>
      </c>
      <c r="G727" s="10" t="s">
        <v>412</v>
      </c>
      <c r="H727" s="10" t="s">
        <v>413</v>
      </c>
    </row>
    <row r="728" spans="1:8">
      <c r="A728" s="13" t="s">
        <v>138</v>
      </c>
      <c r="B728" s="14">
        <v>2008</v>
      </c>
      <c r="C728" s="13" t="s">
        <v>135</v>
      </c>
      <c r="D728" s="15">
        <v>5.2930000000000001</v>
      </c>
      <c r="E728" s="13" t="s">
        <v>411</v>
      </c>
      <c r="F728" s="13" t="s">
        <v>73</v>
      </c>
      <c r="G728" s="13" t="s">
        <v>412</v>
      </c>
      <c r="H728" s="13" t="s">
        <v>413</v>
      </c>
    </row>
    <row r="729" spans="1:8">
      <c r="A729" s="10" t="s">
        <v>138</v>
      </c>
      <c r="B729" s="11">
        <v>2009</v>
      </c>
      <c r="C729" s="10" t="s">
        <v>135</v>
      </c>
      <c r="D729" s="12">
        <v>5.5759999999999996</v>
      </c>
      <c r="E729" s="10" t="s">
        <v>411</v>
      </c>
      <c r="F729" s="10" t="s">
        <v>73</v>
      </c>
      <c r="G729" s="10" t="s">
        <v>412</v>
      </c>
      <c r="H729" s="10" t="s">
        <v>413</v>
      </c>
    </row>
    <row r="730" spans="1:8">
      <c r="A730" s="13" t="s">
        <v>138</v>
      </c>
      <c r="B730" s="14">
        <v>2010</v>
      </c>
      <c r="C730" s="13" t="s">
        <v>135</v>
      </c>
      <c r="D730" s="15">
        <v>6.0579999999999998</v>
      </c>
      <c r="E730" s="13" t="s">
        <v>411</v>
      </c>
      <c r="F730" s="13" t="s">
        <v>73</v>
      </c>
      <c r="G730" s="13" t="s">
        <v>412</v>
      </c>
      <c r="H730" s="13" t="s">
        <v>413</v>
      </c>
    </row>
    <row r="731" spans="1:8">
      <c r="A731" s="10" t="s">
        <v>138</v>
      </c>
      <c r="B731" s="11">
        <v>2011</v>
      </c>
      <c r="C731" s="10" t="s">
        <v>135</v>
      </c>
      <c r="D731" s="12">
        <v>6.33</v>
      </c>
      <c r="E731" s="10" t="s">
        <v>411</v>
      </c>
      <c r="F731" s="10" t="s">
        <v>73</v>
      </c>
      <c r="G731" s="10" t="s">
        <v>412</v>
      </c>
      <c r="H731" s="10" t="s">
        <v>413</v>
      </c>
    </row>
    <row r="732" spans="1:8">
      <c r="A732" s="13" t="s">
        <v>138</v>
      </c>
      <c r="B732" s="14">
        <v>2012</v>
      </c>
      <c r="C732" s="13" t="s">
        <v>135</v>
      </c>
      <c r="D732" s="15">
        <v>6.4420000000000002</v>
      </c>
      <c r="E732" s="13" t="s">
        <v>411</v>
      </c>
      <c r="F732" s="13" t="s">
        <v>73</v>
      </c>
      <c r="G732" s="13" t="s">
        <v>412</v>
      </c>
      <c r="H732" s="13" t="s">
        <v>413</v>
      </c>
    </row>
    <row r="733" spans="1:8">
      <c r="A733" s="10" t="s">
        <v>138</v>
      </c>
      <c r="B733" s="11">
        <v>2013</v>
      </c>
      <c r="C733" s="10" t="s">
        <v>135</v>
      </c>
      <c r="D733" s="12">
        <v>6.6539999999999999</v>
      </c>
      <c r="E733" s="10" t="s">
        <v>411</v>
      </c>
      <c r="F733" s="10" t="s">
        <v>73</v>
      </c>
      <c r="G733" s="10" t="s">
        <v>412</v>
      </c>
      <c r="H733" s="10" t="s">
        <v>413</v>
      </c>
    </row>
    <row r="734" spans="1:8">
      <c r="A734" s="13" t="s">
        <v>138</v>
      </c>
      <c r="B734" s="14">
        <v>2014</v>
      </c>
      <c r="C734" s="13" t="s">
        <v>135</v>
      </c>
      <c r="D734" s="15">
        <v>6.8959999999999999</v>
      </c>
      <c r="E734" s="13" t="s">
        <v>411</v>
      </c>
      <c r="F734" s="13" t="s">
        <v>73</v>
      </c>
      <c r="G734" s="13" t="s">
        <v>412</v>
      </c>
      <c r="H734" s="13" t="s">
        <v>413</v>
      </c>
    </row>
    <row r="735" spans="1:8">
      <c r="A735" s="10" t="s">
        <v>138</v>
      </c>
      <c r="B735" s="11">
        <v>2015</v>
      </c>
      <c r="C735" s="10" t="s">
        <v>135</v>
      </c>
      <c r="D735" s="12">
        <v>7.2510000000000003</v>
      </c>
      <c r="E735" s="10" t="s">
        <v>411</v>
      </c>
      <c r="F735" s="10" t="s">
        <v>73</v>
      </c>
      <c r="G735" s="10" t="s">
        <v>412</v>
      </c>
      <c r="H735" s="10" t="s">
        <v>413</v>
      </c>
    </row>
    <row r="736" spans="1:8">
      <c r="A736" s="13" t="s">
        <v>138</v>
      </c>
      <c r="B736" s="14">
        <v>2016</v>
      </c>
      <c r="C736" s="13" t="s">
        <v>135</v>
      </c>
      <c r="D736" s="15">
        <v>7.8109999999999999</v>
      </c>
      <c r="E736" s="13" t="s">
        <v>411</v>
      </c>
      <c r="F736" s="13" t="s">
        <v>73</v>
      </c>
      <c r="G736" s="13" t="s">
        <v>412</v>
      </c>
      <c r="H736" s="13" t="s">
        <v>413</v>
      </c>
    </row>
    <row r="737" spans="1:8">
      <c r="A737" s="10" t="s">
        <v>138</v>
      </c>
      <c r="B737" s="11">
        <v>2017</v>
      </c>
      <c r="C737" s="10" t="s">
        <v>135</v>
      </c>
      <c r="D737" s="12">
        <v>7.8830200000000001</v>
      </c>
      <c r="E737" s="10" t="s">
        <v>411</v>
      </c>
      <c r="F737" s="10" t="s">
        <v>73</v>
      </c>
      <c r="G737" s="10" t="s">
        <v>412</v>
      </c>
      <c r="H737" s="10" t="s">
        <v>413</v>
      </c>
    </row>
    <row r="738" spans="1:8">
      <c r="A738" s="13" t="s">
        <v>138</v>
      </c>
      <c r="B738" s="14">
        <v>2018</v>
      </c>
      <c r="C738" s="13" t="s">
        <v>135</v>
      </c>
      <c r="D738" s="15">
        <v>7.7053700000000003</v>
      </c>
      <c r="E738" s="13" t="s">
        <v>411</v>
      </c>
      <c r="F738" s="13" t="s">
        <v>73</v>
      </c>
      <c r="G738" s="13" t="s">
        <v>412</v>
      </c>
      <c r="H738" s="13" t="s">
        <v>413</v>
      </c>
    </row>
    <row r="739" spans="1:8">
      <c r="A739" s="10" t="s">
        <v>138</v>
      </c>
      <c r="B739" s="11">
        <v>2019</v>
      </c>
      <c r="C739" s="10" t="s">
        <v>135</v>
      </c>
      <c r="D739" s="12">
        <v>7.6219299999999999</v>
      </c>
      <c r="E739" s="10" t="s">
        <v>411</v>
      </c>
      <c r="F739" s="10" t="s">
        <v>73</v>
      </c>
      <c r="G739" s="10" t="s">
        <v>412</v>
      </c>
      <c r="H739" s="10" t="s">
        <v>413</v>
      </c>
    </row>
    <row r="740" spans="1:8">
      <c r="A740" s="13" t="s">
        <v>138</v>
      </c>
      <c r="B740" s="14">
        <v>2020</v>
      </c>
      <c r="C740" s="13" t="s">
        <v>135</v>
      </c>
      <c r="D740" s="15">
        <v>7.5149309999999998</v>
      </c>
      <c r="E740" s="13" t="s">
        <v>411</v>
      </c>
      <c r="F740" s="13" t="s">
        <v>73</v>
      </c>
      <c r="G740" s="13" t="s">
        <v>412</v>
      </c>
      <c r="H740" s="13" t="s">
        <v>413</v>
      </c>
    </row>
    <row r="741" spans="1:8">
      <c r="A741" s="10" t="s">
        <v>138</v>
      </c>
      <c r="B741" s="11">
        <v>2021</v>
      </c>
      <c r="C741" s="10" t="s">
        <v>135</v>
      </c>
      <c r="D741" s="12">
        <v>7.6094410000000003</v>
      </c>
      <c r="E741" s="10" t="s">
        <v>411</v>
      </c>
      <c r="F741" s="10" t="s">
        <v>73</v>
      </c>
      <c r="G741" s="10" t="s">
        <v>412</v>
      </c>
      <c r="H741" s="10" t="s">
        <v>413</v>
      </c>
    </row>
    <row r="742" spans="1:8">
      <c r="A742" s="13" t="s">
        <v>138</v>
      </c>
      <c r="B742" s="14">
        <v>2022</v>
      </c>
      <c r="C742" s="13" t="s">
        <v>135</v>
      </c>
      <c r="D742" s="15">
        <v>7.5002889999999995</v>
      </c>
      <c r="E742" s="13" t="s">
        <v>411</v>
      </c>
      <c r="F742" s="13" t="s">
        <v>73</v>
      </c>
      <c r="G742" s="13" t="s">
        <v>412</v>
      </c>
      <c r="H742" s="13" t="s">
        <v>413</v>
      </c>
    </row>
    <row r="743" spans="1:8">
      <c r="A743" s="10" t="s">
        <v>138</v>
      </c>
      <c r="B743" s="11">
        <v>2023</v>
      </c>
      <c r="C743" s="10" t="s">
        <v>135</v>
      </c>
      <c r="D743" s="12">
        <v>7.4726020000000002</v>
      </c>
      <c r="E743" s="10" t="s">
        <v>411</v>
      </c>
      <c r="F743" s="10" t="s">
        <v>73</v>
      </c>
      <c r="G743" s="10" t="s">
        <v>412</v>
      </c>
      <c r="H743" s="10" t="s">
        <v>413</v>
      </c>
    </row>
    <row r="744" spans="1:8">
      <c r="A744" s="13" t="s">
        <v>138</v>
      </c>
      <c r="B744" s="14">
        <v>2018</v>
      </c>
      <c r="C744" s="13" t="s">
        <v>135</v>
      </c>
      <c r="D744" s="15">
        <v>0.13491300000000001</v>
      </c>
      <c r="E744" s="13" t="s">
        <v>411</v>
      </c>
      <c r="F744" s="13" t="s">
        <v>73</v>
      </c>
      <c r="G744" s="13" t="s">
        <v>412</v>
      </c>
      <c r="H744" s="13" t="s">
        <v>413</v>
      </c>
    </row>
    <row r="745" spans="1:8">
      <c r="A745" s="10" t="s">
        <v>138</v>
      </c>
      <c r="B745" s="11">
        <v>2019</v>
      </c>
      <c r="C745" s="10" t="s">
        <v>135</v>
      </c>
      <c r="D745" s="12">
        <v>0.14446100000000001</v>
      </c>
      <c r="E745" s="10" t="s">
        <v>411</v>
      </c>
      <c r="F745" s="10" t="s">
        <v>73</v>
      </c>
      <c r="G745" s="10" t="s">
        <v>412</v>
      </c>
      <c r="H745" s="10" t="s">
        <v>413</v>
      </c>
    </row>
    <row r="746" spans="1:8">
      <c r="A746" s="13" t="s">
        <v>138</v>
      </c>
      <c r="B746" s="14">
        <v>2020</v>
      </c>
      <c r="C746" s="13" t="s">
        <v>135</v>
      </c>
      <c r="D746" s="15">
        <v>0.14620399999999997</v>
      </c>
      <c r="E746" s="13" t="s">
        <v>411</v>
      </c>
      <c r="F746" s="13" t="s">
        <v>73</v>
      </c>
      <c r="G746" s="13" t="s">
        <v>412</v>
      </c>
      <c r="H746" s="13" t="s">
        <v>413</v>
      </c>
    </row>
    <row r="747" spans="1:8">
      <c r="A747" s="10" t="s">
        <v>138</v>
      </c>
      <c r="B747" s="11">
        <v>2021</v>
      </c>
      <c r="C747" s="10" t="s">
        <v>135</v>
      </c>
      <c r="D747" s="12">
        <v>0.14879300000000001</v>
      </c>
      <c r="E747" s="10" t="s">
        <v>411</v>
      </c>
      <c r="F747" s="10" t="s">
        <v>73</v>
      </c>
      <c r="G747" s="10" t="s">
        <v>412</v>
      </c>
      <c r="H747" s="10" t="s">
        <v>413</v>
      </c>
    </row>
    <row r="748" spans="1:8">
      <c r="A748" s="13" t="s">
        <v>138</v>
      </c>
      <c r="B748" s="14">
        <v>2022</v>
      </c>
      <c r="C748" s="13" t="s">
        <v>135</v>
      </c>
      <c r="D748" s="15">
        <v>0.14595000000000002</v>
      </c>
      <c r="E748" s="13" t="s">
        <v>411</v>
      </c>
      <c r="F748" s="13" t="s">
        <v>73</v>
      </c>
      <c r="G748" s="13" t="s">
        <v>412</v>
      </c>
      <c r="H748" s="13" t="s">
        <v>413</v>
      </c>
    </row>
    <row r="749" spans="1:8">
      <c r="A749" s="10" t="s">
        <v>138</v>
      </c>
      <c r="B749" s="11">
        <v>2023</v>
      </c>
      <c r="C749" s="10" t="s">
        <v>135</v>
      </c>
      <c r="D749" s="12">
        <v>0.14463999999999999</v>
      </c>
      <c r="E749" s="10" t="s">
        <v>411</v>
      </c>
      <c r="F749" s="10" t="s">
        <v>73</v>
      </c>
      <c r="G749" s="10" t="s">
        <v>412</v>
      </c>
      <c r="H749" s="10" t="s">
        <v>413</v>
      </c>
    </row>
    <row r="750" spans="1:8">
      <c r="A750" s="13" t="s">
        <v>138</v>
      </c>
      <c r="B750" s="14">
        <v>2000</v>
      </c>
      <c r="C750" s="13" t="s">
        <v>135</v>
      </c>
      <c r="D750" s="15">
        <v>0.84</v>
      </c>
      <c r="E750" s="13" t="s">
        <v>411</v>
      </c>
      <c r="F750" s="13" t="s">
        <v>73</v>
      </c>
      <c r="G750" s="13" t="s">
        <v>412</v>
      </c>
      <c r="H750" s="13" t="s">
        <v>413</v>
      </c>
    </row>
    <row r="751" spans="1:8">
      <c r="A751" s="10" t="s">
        <v>138</v>
      </c>
      <c r="B751" s="11">
        <v>2001</v>
      </c>
      <c r="C751" s="10" t="s">
        <v>135</v>
      </c>
      <c r="D751" s="12">
        <v>0.88</v>
      </c>
      <c r="E751" s="10" t="s">
        <v>411</v>
      </c>
      <c r="F751" s="10" t="s">
        <v>73</v>
      </c>
      <c r="G751" s="10" t="s">
        <v>412</v>
      </c>
      <c r="H751" s="10" t="s">
        <v>413</v>
      </c>
    </row>
    <row r="752" spans="1:8">
      <c r="A752" s="13" t="s">
        <v>138</v>
      </c>
      <c r="B752" s="14">
        <v>2002</v>
      </c>
      <c r="C752" s="13" t="s">
        <v>135</v>
      </c>
      <c r="D752" s="15">
        <v>0.90800000000000003</v>
      </c>
      <c r="E752" s="13" t="s">
        <v>411</v>
      </c>
      <c r="F752" s="13" t="s">
        <v>73</v>
      </c>
      <c r="G752" s="13" t="s">
        <v>412</v>
      </c>
      <c r="H752" s="13" t="s">
        <v>413</v>
      </c>
    </row>
    <row r="753" spans="1:8">
      <c r="A753" s="10" t="s">
        <v>138</v>
      </c>
      <c r="B753" s="11">
        <v>2003</v>
      </c>
      <c r="C753" s="10" t="s">
        <v>135</v>
      </c>
      <c r="D753" s="12">
        <v>0.96499999999999997</v>
      </c>
      <c r="E753" s="10" t="s">
        <v>411</v>
      </c>
      <c r="F753" s="10" t="s">
        <v>73</v>
      </c>
      <c r="G753" s="10" t="s">
        <v>412</v>
      </c>
      <c r="H753" s="10" t="s">
        <v>413</v>
      </c>
    </row>
    <row r="754" spans="1:8">
      <c r="A754" s="13" t="s">
        <v>138</v>
      </c>
      <c r="B754" s="14">
        <v>2004</v>
      </c>
      <c r="C754" s="13" t="s">
        <v>135</v>
      </c>
      <c r="D754" s="15">
        <v>0.97099999999999997</v>
      </c>
      <c r="E754" s="13" t="s">
        <v>411</v>
      </c>
      <c r="F754" s="13" t="s">
        <v>73</v>
      </c>
      <c r="G754" s="13" t="s">
        <v>412</v>
      </c>
      <c r="H754" s="13" t="s">
        <v>413</v>
      </c>
    </row>
    <row r="755" spans="1:8">
      <c r="A755" s="10" t="s">
        <v>138</v>
      </c>
      <c r="B755" s="11">
        <v>2005</v>
      </c>
      <c r="C755" s="10" t="s">
        <v>135</v>
      </c>
      <c r="D755" s="12">
        <v>0.96399999999999997</v>
      </c>
      <c r="E755" s="10" t="s">
        <v>411</v>
      </c>
      <c r="F755" s="10" t="s">
        <v>73</v>
      </c>
      <c r="G755" s="10" t="s">
        <v>412</v>
      </c>
      <c r="H755" s="10" t="s">
        <v>413</v>
      </c>
    </row>
    <row r="756" spans="1:8">
      <c r="A756" s="13" t="s">
        <v>138</v>
      </c>
      <c r="B756" s="14">
        <v>2006</v>
      </c>
      <c r="C756" s="13" t="s">
        <v>135</v>
      </c>
      <c r="D756" s="15">
        <v>1.083</v>
      </c>
      <c r="E756" s="13" t="s">
        <v>411</v>
      </c>
      <c r="F756" s="13" t="s">
        <v>73</v>
      </c>
      <c r="G756" s="13" t="s">
        <v>412</v>
      </c>
      <c r="H756" s="13" t="s">
        <v>413</v>
      </c>
    </row>
    <row r="757" spans="1:8">
      <c r="A757" s="10" t="s">
        <v>138</v>
      </c>
      <c r="B757" s="11">
        <v>2007</v>
      </c>
      <c r="C757" s="10" t="s">
        <v>135</v>
      </c>
      <c r="D757" s="12">
        <v>1.1890000000000001</v>
      </c>
      <c r="E757" s="10" t="s">
        <v>411</v>
      </c>
      <c r="F757" s="10" t="s">
        <v>73</v>
      </c>
      <c r="G757" s="10" t="s">
        <v>412</v>
      </c>
      <c r="H757" s="10" t="s">
        <v>413</v>
      </c>
    </row>
    <row r="758" spans="1:8">
      <c r="A758" s="13" t="s">
        <v>138</v>
      </c>
      <c r="B758" s="14">
        <v>2008</v>
      </c>
      <c r="C758" s="13" t="s">
        <v>135</v>
      </c>
      <c r="D758" s="15">
        <v>1.395</v>
      </c>
      <c r="E758" s="13" t="s">
        <v>411</v>
      </c>
      <c r="F758" s="13" t="s">
        <v>73</v>
      </c>
      <c r="G758" s="13" t="s">
        <v>412</v>
      </c>
      <c r="H758" s="13" t="s">
        <v>413</v>
      </c>
    </row>
    <row r="759" spans="1:8">
      <c r="A759" s="10" t="s">
        <v>138</v>
      </c>
      <c r="B759" s="11">
        <v>2009</v>
      </c>
      <c r="C759" s="10" t="s">
        <v>135</v>
      </c>
      <c r="D759" s="12">
        <v>1.6579999999999999</v>
      </c>
      <c r="E759" s="10" t="s">
        <v>411</v>
      </c>
      <c r="F759" s="10" t="s">
        <v>73</v>
      </c>
      <c r="G759" s="10" t="s">
        <v>412</v>
      </c>
      <c r="H759" s="10" t="s">
        <v>413</v>
      </c>
    </row>
    <row r="760" spans="1:8">
      <c r="A760" s="13" t="s">
        <v>138</v>
      </c>
      <c r="B760" s="14">
        <v>2010</v>
      </c>
      <c r="C760" s="13" t="s">
        <v>135</v>
      </c>
      <c r="D760" s="15">
        <v>1.5329999999999999</v>
      </c>
      <c r="E760" s="13" t="s">
        <v>411</v>
      </c>
      <c r="F760" s="13" t="s">
        <v>73</v>
      </c>
      <c r="G760" s="13" t="s">
        <v>412</v>
      </c>
      <c r="H760" s="13" t="s">
        <v>413</v>
      </c>
    </row>
    <row r="761" spans="1:8">
      <c r="A761" s="10" t="s">
        <v>138</v>
      </c>
      <c r="B761" s="11">
        <v>2011</v>
      </c>
      <c r="C761" s="10" t="s">
        <v>135</v>
      </c>
      <c r="D761" s="12">
        <v>1.5009999999999999</v>
      </c>
      <c r="E761" s="10" t="s">
        <v>411</v>
      </c>
      <c r="F761" s="10" t="s">
        <v>73</v>
      </c>
      <c r="G761" s="10" t="s">
        <v>412</v>
      </c>
      <c r="H761" s="10" t="s">
        <v>413</v>
      </c>
    </row>
    <row r="762" spans="1:8">
      <c r="A762" s="13" t="s">
        <v>138</v>
      </c>
      <c r="B762" s="14">
        <v>2012</v>
      </c>
      <c r="C762" s="13" t="s">
        <v>135</v>
      </c>
      <c r="D762" s="15">
        <v>1.76</v>
      </c>
      <c r="E762" s="13" t="s">
        <v>411</v>
      </c>
      <c r="F762" s="13" t="s">
        <v>73</v>
      </c>
      <c r="G762" s="13" t="s">
        <v>412</v>
      </c>
      <c r="H762" s="13" t="s">
        <v>413</v>
      </c>
    </row>
    <row r="763" spans="1:8">
      <c r="A763" s="10" t="s">
        <v>138</v>
      </c>
      <c r="B763" s="11">
        <v>2013</v>
      </c>
      <c r="C763" s="10" t="s">
        <v>135</v>
      </c>
      <c r="D763" s="12">
        <v>1.6579999999999999</v>
      </c>
      <c r="E763" s="10" t="s">
        <v>411</v>
      </c>
      <c r="F763" s="10" t="s">
        <v>73</v>
      </c>
      <c r="G763" s="10" t="s">
        <v>412</v>
      </c>
      <c r="H763" s="10" t="s">
        <v>413</v>
      </c>
    </row>
    <row r="764" spans="1:8">
      <c r="A764" s="13" t="s">
        <v>138</v>
      </c>
      <c r="B764" s="14">
        <v>2014</v>
      </c>
      <c r="C764" s="13" t="s">
        <v>135</v>
      </c>
      <c r="D764" s="15">
        <v>1.9</v>
      </c>
      <c r="E764" s="13" t="s">
        <v>411</v>
      </c>
      <c r="F764" s="13" t="s">
        <v>73</v>
      </c>
      <c r="G764" s="13" t="s">
        <v>412</v>
      </c>
      <c r="H764" s="13" t="s">
        <v>413</v>
      </c>
    </row>
    <row r="765" spans="1:8">
      <c r="A765" s="10" t="s">
        <v>138</v>
      </c>
      <c r="B765" s="11">
        <v>2015</v>
      </c>
      <c r="C765" s="10" t="s">
        <v>135</v>
      </c>
      <c r="D765" s="12">
        <v>2.5819999999999999</v>
      </c>
      <c r="E765" s="10" t="s">
        <v>411</v>
      </c>
      <c r="F765" s="10" t="s">
        <v>73</v>
      </c>
      <c r="G765" s="10" t="s">
        <v>412</v>
      </c>
      <c r="H765" s="10" t="s">
        <v>413</v>
      </c>
    </row>
    <row r="766" spans="1:8">
      <c r="A766" s="13" t="s">
        <v>138</v>
      </c>
      <c r="B766" s="14">
        <v>2016</v>
      </c>
      <c r="C766" s="13" t="s">
        <v>135</v>
      </c>
      <c r="D766" s="15">
        <v>2.74</v>
      </c>
      <c r="E766" s="13" t="s">
        <v>411</v>
      </c>
      <c r="F766" s="13" t="s">
        <v>73</v>
      </c>
      <c r="G766" s="13" t="s">
        <v>412</v>
      </c>
      <c r="H766" s="13" t="s">
        <v>413</v>
      </c>
    </row>
    <row r="767" spans="1:8">
      <c r="A767" s="10" t="s">
        <v>138</v>
      </c>
      <c r="B767" s="11">
        <v>2017</v>
      </c>
      <c r="C767" s="10" t="s">
        <v>135</v>
      </c>
      <c r="D767" s="12">
        <v>3.3856009999999999</v>
      </c>
      <c r="E767" s="10" t="s">
        <v>411</v>
      </c>
      <c r="F767" s="10" t="s">
        <v>73</v>
      </c>
      <c r="G767" s="10" t="s">
        <v>412</v>
      </c>
      <c r="H767" s="10" t="s">
        <v>413</v>
      </c>
    </row>
    <row r="768" spans="1:8">
      <c r="A768" s="13" t="s">
        <v>138</v>
      </c>
      <c r="B768" s="14">
        <v>2018</v>
      </c>
      <c r="C768" s="13" t="s">
        <v>135</v>
      </c>
      <c r="D768" s="15">
        <v>3.4904600000000001</v>
      </c>
      <c r="E768" s="13" t="s">
        <v>411</v>
      </c>
      <c r="F768" s="13" t="s">
        <v>73</v>
      </c>
      <c r="G768" s="13" t="s">
        <v>412</v>
      </c>
      <c r="H768" s="13" t="s">
        <v>413</v>
      </c>
    </row>
    <row r="769" spans="1:8">
      <c r="A769" s="10" t="s">
        <v>138</v>
      </c>
      <c r="B769" s="11">
        <v>2019</v>
      </c>
      <c r="C769" s="10" t="s">
        <v>135</v>
      </c>
      <c r="D769" s="12">
        <v>3.7915719999999995</v>
      </c>
      <c r="E769" s="10" t="s">
        <v>411</v>
      </c>
      <c r="F769" s="10" t="s">
        <v>73</v>
      </c>
      <c r="G769" s="10" t="s">
        <v>412</v>
      </c>
      <c r="H769" s="10" t="s">
        <v>413</v>
      </c>
    </row>
    <row r="770" spans="1:8">
      <c r="A770" s="13" t="s">
        <v>138</v>
      </c>
      <c r="B770" s="14">
        <v>2020</v>
      </c>
      <c r="C770" s="13" t="s">
        <v>135</v>
      </c>
      <c r="D770" s="15">
        <v>4.3593489999999999</v>
      </c>
      <c r="E770" s="13" t="s">
        <v>411</v>
      </c>
      <c r="F770" s="13" t="s">
        <v>73</v>
      </c>
      <c r="G770" s="13" t="s">
        <v>412</v>
      </c>
      <c r="H770" s="13" t="s">
        <v>413</v>
      </c>
    </row>
    <row r="771" spans="1:8">
      <c r="A771" s="10" t="s">
        <v>138</v>
      </c>
      <c r="B771" s="11">
        <v>2021</v>
      </c>
      <c r="C771" s="10" t="s">
        <v>135</v>
      </c>
      <c r="D771" s="12">
        <v>4.6357280000000003</v>
      </c>
      <c r="E771" s="10" t="s">
        <v>411</v>
      </c>
      <c r="F771" s="10" t="s">
        <v>73</v>
      </c>
      <c r="G771" s="10" t="s">
        <v>412</v>
      </c>
      <c r="H771" s="10" t="s">
        <v>413</v>
      </c>
    </row>
    <row r="772" spans="1:8">
      <c r="A772" s="13" t="s">
        <v>138</v>
      </c>
      <c r="B772" s="14">
        <v>2022</v>
      </c>
      <c r="C772" s="13" t="s">
        <v>135</v>
      </c>
      <c r="D772" s="15">
        <v>4.8318839999999996</v>
      </c>
      <c r="E772" s="13" t="s">
        <v>411</v>
      </c>
      <c r="F772" s="13" t="s">
        <v>73</v>
      </c>
      <c r="G772" s="13" t="s">
        <v>412</v>
      </c>
      <c r="H772" s="13" t="s">
        <v>413</v>
      </c>
    </row>
    <row r="773" spans="1:8">
      <c r="A773" s="10" t="s">
        <v>138</v>
      </c>
      <c r="B773" s="11">
        <v>2023</v>
      </c>
      <c r="C773" s="10" t="s">
        <v>135</v>
      </c>
      <c r="D773" s="12">
        <v>5.047682</v>
      </c>
      <c r="E773" s="10" t="s">
        <v>411</v>
      </c>
      <c r="F773" s="10" t="s">
        <v>73</v>
      </c>
      <c r="G773" s="10" t="s">
        <v>412</v>
      </c>
      <c r="H773" s="10" t="s">
        <v>413</v>
      </c>
    </row>
    <row r="774" spans="1:8">
      <c r="A774" s="13" t="s">
        <v>138</v>
      </c>
      <c r="B774" s="14">
        <v>2000</v>
      </c>
      <c r="C774" s="13" t="s">
        <v>135</v>
      </c>
      <c r="D774" s="15">
        <v>0.54100000000000004</v>
      </c>
      <c r="E774" s="13" t="s">
        <v>411</v>
      </c>
      <c r="F774" s="13" t="s">
        <v>73</v>
      </c>
      <c r="G774" s="13" t="s">
        <v>412</v>
      </c>
      <c r="H774" s="13" t="s">
        <v>413</v>
      </c>
    </row>
    <row r="775" spans="1:8">
      <c r="A775" s="10" t="s">
        <v>138</v>
      </c>
      <c r="B775" s="11">
        <v>2001</v>
      </c>
      <c r="C775" s="10" t="s">
        <v>135</v>
      </c>
      <c r="D775" s="12">
        <v>0.77600000000000002</v>
      </c>
      <c r="E775" s="10" t="s">
        <v>411</v>
      </c>
      <c r="F775" s="10" t="s">
        <v>73</v>
      </c>
      <c r="G775" s="10" t="s">
        <v>412</v>
      </c>
      <c r="H775" s="10" t="s">
        <v>413</v>
      </c>
    </row>
    <row r="776" spans="1:8">
      <c r="A776" s="13" t="s">
        <v>138</v>
      </c>
      <c r="B776" s="14">
        <v>2002</v>
      </c>
      <c r="C776" s="13" t="s">
        <v>135</v>
      </c>
      <c r="D776" s="15">
        <v>1.127</v>
      </c>
      <c r="E776" s="13" t="s">
        <v>411</v>
      </c>
      <c r="F776" s="13" t="s">
        <v>73</v>
      </c>
      <c r="G776" s="13" t="s">
        <v>412</v>
      </c>
      <c r="H776" s="13" t="s">
        <v>413</v>
      </c>
    </row>
    <row r="777" spans="1:8">
      <c r="A777" s="10" t="s">
        <v>138</v>
      </c>
      <c r="B777" s="11">
        <v>2003</v>
      </c>
      <c r="C777" s="10" t="s">
        <v>135</v>
      </c>
      <c r="D777" s="12">
        <v>1.5289999999999999</v>
      </c>
      <c r="E777" s="10" t="s">
        <v>411</v>
      </c>
      <c r="F777" s="10" t="s">
        <v>73</v>
      </c>
      <c r="G777" s="10" t="s">
        <v>412</v>
      </c>
      <c r="H777" s="10" t="s">
        <v>413</v>
      </c>
    </row>
    <row r="778" spans="1:8">
      <c r="A778" s="13" t="s">
        <v>138</v>
      </c>
      <c r="B778" s="14">
        <v>2004</v>
      </c>
      <c r="C778" s="13" t="s">
        <v>135</v>
      </c>
      <c r="D778" s="15">
        <v>1.94</v>
      </c>
      <c r="E778" s="13" t="s">
        <v>411</v>
      </c>
      <c r="F778" s="13" t="s">
        <v>73</v>
      </c>
      <c r="G778" s="13" t="s">
        <v>412</v>
      </c>
      <c r="H778" s="13" t="s">
        <v>413</v>
      </c>
    </row>
    <row r="779" spans="1:8">
      <c r="A779" s="10" t="s">
        <v>138</v>
      </c>
      <c r="B779" s="11">
        <v>2005</v>
      </c>
      <c r="C779" s="10" t="s">
        <v>135</v>
      </c>
      <c r="D779" s="12">
        <v>3.3740000000000001</v>
      </c>
      <c r="E779" s="10" t="s">
        <v>411</v>
      </c>
      <c r="F779" s="10" t="s">
        <v>73</v>
      </c>
      <c r="G779" s="10" t="s">
        <v>412</v>
      </c>
      <c r="H779" s="10" t="s">
        <v>413</v>
      </c>
    </row>
    <row r="780" spans="1:8">
      <c r="A780" s="13" t="s">
        <v>138</v>
      </c>
      <c r="B780" s="14">
        <v>2006</v>
      </c>
      <c r="C780" s="13" t="s">
        <v>135</v>
      </c>
      <c r="D780" s="15">
        <v>3.3119999999999998</v>
      </c>
      <c r="E780" s="13" t="s">
        <v>411</v>
      </c>
      <c r="F780" s="13" t="s">
        <v>73</v>
      </c>
      <c r="G780" s="13" t="s">
        <v>412</v>
      </c>
      <c r="H780" s="13" t="s">
        <v>413</v>
      </c>
    </row>
    <row r="781" spans="1:8">
      <c r="A781" s="10" t="s">
        <v>138</v>
      </c>
      <c r="B781" s="11">
        <v>2007</v>
      </c>
      <c r="C781" s="10" t="s">
        <v>135</v>
      </c>
      <c r="D781" s="12">
        <v>2.9489999999999998</v>
      </c>
      <c r="E781" s="10" t="s">
        <v>411</v>
      </c>
      <c r="F781" s="10" t="s">
        <v>73</v>
      </c>
      <c r="G781" s="10" t="s">
        <v>412</v>
      </c>
      <c r="H781" s="10" t="s">
        <v>413</v>
      </c>
    </row>
    <row r="782" spans="1:8">
      <c r="A782" s="13" t="s">
        <v>138</v>
      </c>
      <c r="B782" s="14">
        <v>2008</v>
      </c>
      <c r="C782" s="13" t="s">
        <v>135</v>
      </c>
      <c r="D782" s="15">
        <v>3.0019999999999998</v>
      </c>
      <c r="E782" s="13" t="s">
        <v>411</v>
      </c>
      <c r="F782" s="13" t="s">
        <v>73</v>
      </c>
      <c r="G782" s="13" t="s">
        <v>412</v>
      </c>
      <c r="H782" s="13" t="s">
        <v>413</v>
      </c>
    </row>
    <row r="783" spans="1:8">
      <c r="A783" s="10" t="s">
        <v>138</v>
      </c>
      <c r="B783" s="11">
        <v>2009</v>
      </c>
      <c r="C783" s="10" t="s">
        <v>135</v>
      </c>
      <c r="D783" s="12">
        <v>3.589</v>
      </c>
      <c r="E783" s="10" t="s">
        <v>411</v>
      </c>
      <c r="F783" s="10" t="s">
        <v>73</v>
      </c>
      <c r="G783" s="10" t="s">
        <v>412</v>
      </c>
      <c r="H783" s="10" t="s">
        <v>413</v>
      </c>
    </row>
    <row r="784" spans="1:8">
      <c r="A784" s="13" t="s">
        <v>138</v>
      </c>
      <c r="B784" s="14">
        <v>2010</v>
      </c>
      <c r="C784" s="13" t="s">
        <v>135</v>
      </c>
      <c r="D784" s="15">
        <v>4.6740000000000004</v>
      </c>
      <c r="E784" s="13" t="s">
        <v>411</v>
      </c>
      <c r="F784" s="13" t="s">
        <v>73</v>
      </c>
      <c r="G784" s="13" t="s">
        <v>412</v>
      </c>
      <c r="H784" s="13" t="s">
        <v>413</v>
      </c>
    </row>
    <row r="785" spans="1:8">
      <c r="A785" s="10" t="s">
        <v>138</v>
      </c>
      <c r="B785" s="11">
        <v>2011</v>
      </c>
      <c r="C785" s="10" t="s">
        <v>135</v>
      </c>
      <c r="D785" s="12">
        <v>5.4779999999999998</v>
      </c>
      <c r="E785" s="10" t="s">
        <v>411</v>
      </c>
      <c r="F785" s="10" t="s">
        <v>73</v>
      </c>
      <c r="G785" s="10" t="s">
        <v>412</v>
      </c>
      <c r="H785" s="10" t="s">
        <v>413</v>
      </c>
    </row>
    <row r="786" spans="1:8">
      <c r="A786" s="13" t="s">
        <v>138</v>
      </c>
      <c r="B786" s="14">
        <v>2012</v>
      </c>
      <c r="C786" s="13" t="s">
        <v>135</v>
      </c>
      <c r="D786" s="15">
        <v>6.52</v>
      </c>
      <c r="E786" s="13" t="s">
        <v>411</v>
      </c>
      <c r="F786" s="13" t="s">
        <v>73</v>
      </c>
      <c r="G786" s="13" t="s">
        <v>412</v>
      </c>
      <c r="H786" s="13" t="s">
        <v>413</v>
      </c>
    </row>
    <row r="787" spans="1:8">
      <c r="A787" s="10" t="s">
        <v>138</v>
      </c>
      <c r="B787" s="11">
        <v>2013</v>
      </c>
      <c r="C787" s="10" t="s">
        <v>135</v>
      </c>
      <c r="D787" s="12">
        <v>9.8019999999999996</v>
      </c>
      <c r="E787" s="10" t="s">
        <v>411</v>
      </c>
      <c r="F787" s="10" t="s">
        <v>73</v>
      </c>
      <c r="G787" s="10" t="s">
        <v>412</v>
      </c>
      <c r="H787" s="10" t="s">
        <v>413</v>
      </c>
    </row>
    <row r="788" spans="1:8">
      <c r="A788" s="13" t="s">
        <v>138</v>
      </c>
      <c r="B788" s="14">
        <v>2014</v>
      </c>
      <c r="C788" s="13" t="s">
        <v>135</v>
      </c>
      <c r="D788" s="15">
        <v>13.824</v>
      </c>
      <c r="E788" s="13" t="s">
        <v>411</v>
      </c>
      <c r="F788" s="13" t="s">
        <v>73</v>
      </c>
      <c r="G788" s="13" t="s">
        <v>412</v>
      </c>
      <c r="H788" s="13" t="s">
        <v>413</v>
      </c>
    </row>
    <row r="789" spans="1:8">
      <c r="A789" s="10" t="s">
        <v>138</v>
      </c>
      <c r="B789" s="11">
        <v>2015</v>
      </c>
      <c r="C789" s="10" t="s">
        <v>135</v>
      </c>
      <c r="D789" s="12">
        <v>19.428000000000001</v>
      </c>
      <c r="E789" s="10" t="s">
        <v>411</v>
      </c>
      <c r="F789" s="10" t="s">
        <v>73</v>
      </c>
      <c r="G789" s="10" t="s">
        <v>412</v>
      </c>
      <c r="H789" s="10" t="s">
        <v>413</v>
      </c>
    </row>
    <row r="790" spans="1:8">
      <c r="A790" s="13" t="s">
        <v>138</v>
      </c>
      <c r="B790" s="14">
        <v>2016</v>
      </c>
      <c r="C790" s="13" t="s">
        <v>135</v>
      </c>
      <c r="D790" s="15">
        <v>19.513999999999999</v>
      </c>
      <c r="E790" s="13" t="s">
        <v>411</v>
      </c>
      <c r="F790" s="13" t="s">
        <v>73</v>
      </c>
      <c r="G790" s="13" t="s">
        <v>412</v>
      </c>
      <c r="H790" s="13" t="s">
        <v>413</v>
      </c>
    </row>
    <row r="791" spans="1:8">
      <c r="A791" s="10" t="s">
        <v>138</v>
      </c>
      <c r="B791" s="11">
        <v>2017</v>
      </c>
      <c r="C791" s="10" t="s">
        <v>135</v>
      </c>
      <c r="D791" s="12">
        <v>20.62555</v>
      </c>
      <c r="E791" s="10" t="s">
        <v>411</v>
      </c>
      <c r="F791" s="10" t="s">
        <v>73</v>
      </c>
      <c r="G791" s="10" t="s">
        <v>412</v>
      </c>
      <c r="H791" s="10" t="s">
        <v>413</v>
      </c>
    </row>
    <row r="792" spans="1:8">
      <c r="A792" s="13" t="s">
        <v>138</v>
      </c>
      <c r="B792" s="14">
        <v>2018</v>
      </c>
      <c r="C792" s="13" t="s">
        <v>135</v>
      </c>
      <c r="D792" s="15">
        <v>23.771643000000001</v>
      </c>
      <c r="E792" s="13" t="s">
        <v>411</v>
      </c>
      <c r="F792" s="13" t="s">
        <v>73</v>
      </c>
      <c r="G792" s="13" t="s">
        <v>412</v>
      </c>
      <c r="H792" s="13" t="s">
        <v>413</v>
      </c>
    </row>
    <row r="793" spans="1:8">
      <c r="A793" s="10" t="s">
        <v>138</v>
      </c>
      <c r="B793" s="11">
        <v>2019</v>
      </c>
      <c r="C793" s="10" t="s">
        <v>135</v>
      </c>
      <c r="D793" s="12">
        <v>25.969626999999999</v>
      </c>
      <c r="E793" s="10" t="s">
        <v>411</v>
      </c>
      <c r="F793" s="10" t="s">
        <v>73</v>
      </c>
      <c r="G793" s="10" t="s">
        <v>412</v>
      </c>
      <c r="H793" s="10" t="s">
        <v>413</v>
      </c>
    </row>
    <row r="794" spans="1:8">
      <c r="A794" s="13" t="s">
        <v>138</v>
      </c>
      <c r="B794" s="14">
        <v>2020</v>
      </c>
      <c r="C794" s="13" t="s">
        <v>135</v>
      </c>
      <c r="D794" s="15">
        <v>26.544781999999998</v>
      </c>
      <c r="E794" s="13" t="s">
        <v>411</v>
      </c>
      <c r="F794" s="13" t="s">
        <v>73</v>
      </c>
      <c r="G794" s="13" t="s">
        <v>412</v>
      </c>
      <c r="H794" s="13" t="s">
        <v>413</v>
      </c>
    </row>
    <row r="795" spans="1:8">
      <c r="A795" s="10" t="s">
        <v>138</v>
      </c>
      <c r="B795" s="11">
        <v>2021</v>
      </c>
      <c r="C795" s="10" t="s">
        <v>135</v>
      </c>
      <c r="D795" s="12">
        <v>27.607103000000002</v>
      </c>
      <c r="E795" s="10" t="s">
        <v>411</v>
      </c>
      <c r="F795" s="10" t="s">
        <v>73</v>
      </c>
      <c r="G795" s="10" t="s">
        <v>412</v>
      </c>
      <c r="H795" s="10" t="s">
        <v>413</v>
      </c>
    </row>
    <row r="796" spans="1:8">
      <c r="A796" s="13" t="s">
        <v>138</v>
      </c>
      <c r="B796" s="14">
        <v>2022</v>
      </c>
      <c r="C796" s="13" t="s">
        <v>135</v>
      </c>
      <c r="D796" s="15">
        <v>23.361492999999999</v>
      </c>
      <c r="E796" s="13" t="s">
        <v>411</v>
      </c>
      <c r="F796" s="13" t="s">
        <v>73</v>
      </c>
      <c r="G796" s="13" t="s">
        <v>412</v>
      </c>
      <c r="H796" s="13" t="s">
        <v>413</v>
      </c>
    </row>
    <row r="797" spans="1:8">
      <c r="A797" s="10" t="s">
        <v>138</v>
      </c>
      <c r="B797" s="11">
        <v>2023</v>
      </c>
      <c r="C797" s="10" t="s">
        <v>135</v>
      </c>
      <c r="D797" s="12">
        <v>21.423026</v>
      </c>
      <c r="E797" s="10" t="s">
        <v>411</v>
      </c>
      <c r="F797" s="10" t="s">
        <v>73</v>
      </c>
      <c r="G797" s="10" t="s">
        <v>412</v>
      </c>
      <c r="H797" s="10" t="s">
        <v>413</v>
      </c>
    </row>
    <row r="798" spans="1:8">
      <c r="A798" s="13" t="s">
        <v>415</v>
      </c>
      <c r="B798" s="14">
        <v>2000</v>
      </c>
      <c r="C798" s="13" t="s">
        <v>135</v>
      </c>
      <c r="D798" s="15">
        <v>0.1</v>
      </c>
      <c r="E798" s="13" t="s">
        <v>411</v>
      </c>
      <c r="F798" s="13" t="s">
        <v>73</v>
      </c>
      <c r="G798" s="13" t="s">
        <v>412</v>
      </c>
      <c r="H798" s="13" t="s">
        <v>413</v>
      </c>
    </row>
    <row r="799" spans="1:8">
      <c r="A799" s="10" t="s">
        <v>416</v>
      </c>
      <c r="B799" s="11">
        <v>2000</v>
      </c>
      <c r="C799" s="10" t="s">
        <v>135</v>
      </c>
      <c r="D799" s="12">
        <v>14.3</v>
      </c>
      <c r="E799" s="10" t="s">
        <v>411</v>
      </c>
      <c r="F799" s="10" t="s">
        <v>73</v>
      </c>
      <c r="G799" s="10" t="s">
        <v>412</v>
      </c>
      <c r="H799" s="10" t="s">
        <v>413</v>
      </c>
    </row>
    <row r="800" spans="1:8">
      <c r="A800" s="13" t="s">
        <v>415</v>
      </c>
      <c r="B800" s="14">
        <v>2001</v>
      </c>
      <c r="C800" s="13" t="s">
        <v>135</v>
      </c>
      <c r="D800" s="15">
        <v>0.3</v>
      </c>
      <c r="E800" s="13" t="s">
        <v>411</v>
      </c>
      <c r="F800" s="13" t="s">
        <v>73</v>
      </c>
      <c r="G800" s="13" t="s">
        <v>412</v>
      </c>
      <c r="H800" s="13" t="s">
        <v>413</v>
      </c>
    </row>
    <row r="801" spans="1:8">
      <c r="A801" s="10" t="s">
        <v>416</v>
      </c>
      <c r="B801" s="11">
        <v>2001</v>
      </c>
      <c r="C801" s="10" t="s">
        <v>135</v>
      </c>
      <c r="D801" s="12">
        <v>10.7</v>
      </c>
      <c r="E801" s="10" t="s">
        <v>411</v>
      </c>
      <c r="F801" s="10" t="s">
        <v>73</v>
      </c>
      <c r="G801" s="10" t="s">
        <v>412</v>
      </c>
      <c r="H801" s="10" t="s">
        <v>413</v>
      </c>
    </row>
    <row r="802" spans="1:8">
      <c r="A802" s="13" t="s">
        <v>415</v>
      </c>
      <c r="B802" s="14">
        <v>2002</v>
      </c>
      <c r="C802" s="13" t="s">
        <v>135</v>
      </c>
      <c r="D802" s="15">
        <v>0.8</v>
      </c>
      <c r="E802" s="13" t="s">
        <v>411</v>
      </c>
      <c r="F802" s="13" t="s">
        <v>73</v>
      </c>
      <c r="G802" s="13" t="s">
        <v>412</v>
      </c>
      <c r="H802" s="13" t="s">
        <v>413</v>
      </c>
    </row>
    <row r="803" spans="1:8">
      <c r="A803" s="10" t="s">
        <v>416</v>
      </c>
      <c r="B803" s="11">
        <v>2002</v>
      </c>
      <c r="C803" s="10" t="s">
        <v>135</v>
      </c>
      <c r="D803" s="12">
        <v>9.1999999999999993</v>
      </c>
      <c r="E803" s="10" t="s">
        <v>411</v>
      </c>
      <c r="F803" s="10" t="s">
        <v>73</v>
      </c>
      <c r="G803" s="10" t="s">
        <v>412</v>
      </c>
      <c r="H803" s="10" t="s">
        <v>413</v>
      </c>
    </row>
    <row r="804" spans="1:8">
      <c r="A804" s="13" t="s">
        <v>415</v>
      </c>
      <c r="B804" s="14">
        <v>2003</v>
      </c>
      <c r="C804" s="13" t="s">
        <v>135</v>
      </c>
      <c r="D804" s="15">
        <v>3</v>
      </c>
      <c r="E804" s="13" t="s">
        <v>411</v>
      </c>
      <c r="F804" s="13" t="s">
        <v>73</v>
      </c>
      <c r="G804" s="13" t="s">
        <v>412</v>
      </c>
      <c r="H804" s="13" t="s">
        <v>413</v>
      </c>
    </row>
    <row r="805" spans="1:8">
      <c r="A805" s="10" t="s">
        <v>416</v>
      </c>
      <c r="B805" s="11">
        <v>2003</v>
      </c>
      <c r="C805" s="10" t="s">
        <v>135</v>
      </c>
      <c r="D805" s="12">
        <v>5.0999999999999996</v>
      </c>
      <c r="E805" s="10" t="s">
        <v>411</v>
      </c>
      <c r="F805" s="10" t="s">
        <v>73</v>
      </c>
      <c r="G805" s="10" t="s">
        <v>412</v>
      </c>
      <c r="H805" s="10" t="s">
        <v>413</v>
      </c>
    </row>
    <row r="806" spans="1:8">
      <c r="A806" s="13" t="s">
        <v>415</v>
      </c>
      <c r="B806" s="14">
        <v>2004</v>
      </c>
      <c r="C806" s="13" t="s">
        <v>135</v>
      </c>
      <c r="D806" s="15">
        <v>2.2999999999999998</v>
      </c>
      <c r="E806" s="13" t="s">
        <v>411</v>
      </c>
      <c r="F806" s="13" t="s">
        <v>73</v>
      </c>
      <c r="G806" s="13" t="s">
        <v>412</v>
      </c>
      <c r="H806" s="13" t="s">
        <v>413</v>
      </c>
    </row>
    <row r="807" spans="1:8">
      <c r="A807" s="10" t="s">
        <v>416</v>
      </c>
      <c r="B807" s="11">
        <v>2004</v>
      </c>
      <c r="C807" s="10" t="s">
        <v>135</v>
      </c>
      <c r="D807" s="12">
        <v>9.8000000000000007</v>
      </c>
      <c r="E807" s="10" t="s">
        <v>411</v>
      </c>
      <c r="F807" s="10" t="s">
        <v>73</v>
      </c>
      <c r="G807" s="10" t="s">
        <v>412</v>
      </c>
      <c r="H807" s="10" t="s">
        <v>413</v>
      </c>
    </row>
    <row r="808" spans="1:8">
      <c r="A808" s="13" t="s">
        <v>415</v>
      </c>
      <c r="B808" s="14">
        <v>2005</v>
      </c>
      <c r="C808" s="13" t="s">
        <v>135</v>
      </c>
      <c r="D808" s="15">
        <v>2.8</v>
      </c>
      <c r="E808" s="13" t="s">
        <v>411</v>
      </c>
      <c r="F808" s="13" t="s">
        <v>73</v>
      </c>
      <c r="G808" s="13" t="s">
        <v>412</v>
      </c>
      <c r="H808" s="13" t="s">
        <v>413</v>
      </c>
    </row>
    <row r="809" spans="1:8">
      <c r="A809" s="10" t="s">
        <v>416</v>
      </c>
      <c r="B809" s="11">
        <v>2005</v>
      </c>
      <c r="C809" s="10" t="s">
        <v>135</v>
      </c>
      <c r="D809" s="12">
        <v>11.2</v>
      </c>
      <c r="E809" s="10" t="s">
        <v>411</v>
      </c>
      <c r="F809" s="10" t="s">
        <v>73</v>
      </c>
      <c r="G809" s="10" t="s">
        <v>412</v>
      </c>
      <c r="H809" s="10" t="s">
        <v>413</v>
      </c>
    </row>
    <row r="810" spans="1:8">
      <c r="A810" s="13" t="s">
        <v>415</v>
      </c>
      <c r="B810" s="14">
        <v>2006</v>
      </c>
      <c r="C810" s="13" t="s">
        <v>135</v>
      </c>
      <c r="D810" s="15">
        <v>2.8</v>
      </c>
      <c r="E810" s="13" t="s">
        <v>411</v>
      </c>
      <c r="F810" s="13" t="s">
        <v>73</v>
      </c>
      <c r="G810" s="13" t="s">
        <v>412</v>
      </c>
      <c r="H810" s="13" t="s">
        <v>413</v>
      </c>
    </row>
    <row r="811" spans="1:8">
      <c r="A811" s="10" t="s">
        <v>416</v>
      </c>
      <c r="B811" s="11">
        <v>2006</v>
      </c>
      <c r="C811" s="10" t="s">
        <v>135</v>
      </c>
      <c r="D811" s="12">
        <v>10.3</v>
      </c>
      <c r="E811" s="10" t="s">
        <v>411</v>
      </c>
      <c r="F811" s="10" t="s">
        <v>73</v>
      </c>
      <c r="G811" s="10" t="s">
        <v>412</v>
      </c>
      <c r="H811" s="10" t="s">
        <v>413</v>
      </c>
    </row>
    <row r="812" spans="1:8">
      <c r="A812" s="13" t="s">
        <v>415</v>
      </c>
      <c r="B812" s="14">
        <v>2007</v>
      </c>
      <c r="C812" s="13" t="s">
        <v>135</v>
      </c>
      <c r="D812" s="15">
        <v>3.4</v>
      </c>
      <c r="E812" s="13" t="s">
        <v>411</v>
      </c>
      <c r="F812" s="13" t="s">
        <v>73</v>
      </c>
      <c r="G812" s="13" t="s">
        <v>412</v>
      </c>
      <c r="H812" s="13" t="s">
        <v>413</v>
      </c>
    </row>
    <row r="813" spans="1:8">
      <c r="A813" s="10" t="s">
        <v>416</v>
      </c>
      <c r="B813" s="11">
        <v>2007</v>
      </c>
      <c r="C813" s="10" t="s">
        <v>135</v>
      </c>
      <c r="D813" s="12">
        <v>8.6</v>
      </c>
      <c r="E813" s="10" t="s">
        <v>411</v>
      </c>
      <c r="F813" s="10" t="s">
        <v>73</v>
      </c>
      <c r="G813" s="10" t="s">
        <v>412</v>
      </c>
      <c r="H813" s="10" t="s">
        <v>413</v>
      </c>
    </row>
    <row r="814" spans="1:8">
      <c r="A814" s="13" t="s">
        <v>415</v>
      </c>
      <c r="B814" s="14">
        <v>2008</v>
      </c>
      <c r="C814" s="13" t="s">
        <v>135</v>
      </c>
      <c r="D814" s="15">
        <v>1.3</v>
      </c>
      <c r="E814" s="13" t="s">
        <v>411</v>
      </c>
      <c r="F814" s="13" t="s">
        <v>73</v>
      </c>
      <c r="G814" s="13" t="s">
        <v>412</v>
      </c>
      <c r="H814" s="13" t="s">
        <v>413</v>
      </c>
    </row>
    <row r="815" spans="1:8">
      <c r="A815" s="10" t="s">
        <v>416</v>
      </c>
      <c r="B815" s="11">
        <v>2008</v>
      </c>
      <c r="C815" s="10" t="s">
        <v>135</v>
      </c>
      <c r="D815" s="12">
        <v>12.3</v>
      </c>
      <c r="E815" s="10" t="s">
        <v>411</v>
      </c>
      <c r="F815" s="10" t="s">
        <v>73</v>
      </c>
      <c r="G815" s="10" t="s">
        <v>412</v>
      </c>
      <c r="H815" s="10" t="s">
        <v>413</v>
      </c>
    </row>
    <row r="816" spans="1:8">
      <c r="A816" s="13" t="s">
        <v>415</v>
      </c>
      <c r="B816" s="14">
        <v>2009</v>
      </c>
      <c r="C816" s="13" t="s">
        <v>135</v>
      </c>
      <c r="D816" s="15">
        <v>3.7</v>
      </c>
      <c r="E816" s="13" t="s">
        <v>411</v>
      </c>
      <c r="F816" s="13" t="s">
        <v>73</v>
      </c>
      <c r="G816" s="13" t="s">
        <v>412</v>
      </c>
      <c r="H816" s="13" t="s">
        <v>413</v>
      </c>
    </row>
    <row r="817" spans="1:8">
      <c r="A817" s="10" t="s">
        <v>416</v>
      </c>
      <c r="B817" s="11">
        <v>2009</v>
      </c>
      <c r="C817" s="10" t="s">
        <v>135</v>
      </c>
      <c r="D817" s="12">
        <v>6.6</v>
      </c>
      <c r="E817" s="10" t="s">
        <v>411</v>
      </c>
      <c r="F817" s="10" t="s">
        <v>73</v>
      </c>
      <c r="G817" s="10" t="s">
        <v>412</v>
      </c>
      <c r="H817" s="10" t="s">
        <v>413</v>
      </c>
    </row>
    <row r="818" spans="1:8">
      <c r="A818" s="13" t="s">
        <v>415</v>
      </c>
      <c r="B818" s="14">
        <v>2010</v>
      </c>
      <c r="C818" s="13" t="s">
        <v>135</v>
      </c>
      <c r="D818" s="15">
        <v>4.5</v>
      </c>
      <c r="E818" s="13" t="s">
        <v>411</v>
      </c>
      <c r="F818" s="13" t="s">
        <v>73</v>
      </c>
      <c r="G818" s="13" t="s">
        <v>412</v>
      </c>
      <c r="H818" s="13" t="s">
        <v>413</v>
      </c>
    </row>
    <row r="819" spans="1:8">
      <c r="A819" s="10" t="s">
        <v>416</v>
      </c>
      <c r="B819" s="11">
        <v>2010</v>
      </c>
      <c r="C819" s="10" t="s">
        <v>135</v>
      </c>
      <c r="D819" s="12">
        <v>7.1</v>
      </c>
      <c r="E819" s="10" t="s">
        <v>411</v>
      </c>
      <c r="F819" s="10" t="s">
        <v>73</v>
      </c>
      <c r="G819" s="10" t="s">
        <v>412</v>
      </c>
      <c r="H819" s="10" t="s">
        <v>413</v>
      </c>
    </row>
    <row r="820" spans="1:8">
      <c r="A820" s="13" t="s">
        <v>415</v>
      </c>
      <c r="B820" s="14">
        <v>2011</v>
      </c>
      <c r="C820" s="13" t="s">
        <v>135</v>
      </c>
      <c r="D820" s="15">
        <v>2.5</v>
      </c>
      <c r="E820" s="13" t="s">
        <v>411</v>
      </c>
      <c r="F820" s="13" t="s">
        <v>73</v>
      </c>
      <c r="G820" s="13" t="s">
        <v>412</v>
      </c>
      <c r="H820" s="13" t="s">
        <v>413</v>
      </c>
    </row>
    <row r="821" spans="1:8">
      <c r="A821" s="10" t="s">
        <v>416</v>
      </c>
      <c r="B821" s="11">
        <v>2011</v>
      </c>
      <c r="C821" s="10" t="s">
        <v>135</v>
      </c>
      <c r="D821" s="12">
        <v>8.6999999999999993</v>
      </c>
      <c r="E821" s="10" t="s">
        <v>411</v>
      </c>
      <c r="F821" s="10" t="s">
        <v>73</v>
      </c>
      <c r="G821" s="10" t="s">
        <v>412</v>
      </c>
      <c r="H821" s="10" t="s">
        <v>413</v>
      </c>
    </row>
    <row r="822" spans="1:8">
      <c r="A822" s="13" t="s">
        <v>415</v>
      </c>
      <c r="B822" s="14">
        <v>2012</v>
      </c>
      <c r="C822" s="13" t="s">
        <v>135</v>
      </c>
      <c r="D822" s="15">
        <v>1.9</v>
      </c>
      <c r="E822" s="13" t="s">
        <v>411</v>
      </c>
      <c r="F822" s="13" t="s">
        <v>73</v>
      </c>
      <c r="G822" s="13" t="s">
        <v>412</v>
      </c>
      <c r="H822" s="13" t="s">
        <v>413</v>
      </c>
    </row>
    <row r="823" spans="1:8">
      <c r="A823" s="10" t="s">
        <v>416</v>
      </c>
      <c r="B823" s="11">
        <v>2012</v>
      </c>
      <c r="C823" s="10" t="s">
        <v>135</v>
      </c>
      <c r="D823" s="12">
        <v>13.8</v>
      </c>
      <c r="E823" s="10" t="s">
        <v>411</v>
      </c>
      <c r="F823" s="10" t="s">
        <v>73</v>
      </c>
      <c r="G823" s="10" t="s">
        <v>412</v>
      </c>
      <c r="H823" s="10" t="s">
        <v>413</v>
      </c>
    </row>
    <row r="824" spans="1:8">
      <c r="A824" s="13" t="s">
        <v>415</v>
      </c>
      <c r="B824" s="14">
        <v>2013</v>
      </c>
      <c r="C824" s="13" t="s">
        <v>135</v>
      </c>
      <c r="D824" s="15">
        <v>3.1</v>
      </c>
      <c r="E824" s="13" t="s">
        <v>411</v>
      </c>
      <c r="F824" s="13" t="s">
        <v>73</v>
      </c>
      <c r="G824" s="13" t="s">
        <v>412</v>
      </c>
      <c r="H824" s="13" t="s">
        <v>413</v>
      </c>
    </row>
    <row r="825" spans="1:8">
      <c r="A825" s="10" t="s">
        <v>416</v>
      </c>
      <c r="B825" s="11">
        <v>2013</v>
      </c>
      <c r="C825" s="10" t="s">
        <v>135</v>
      </c>
      <c r="D825" s="12">
        <v>17.5</v>
      </c>
      <c r="E825" s="10" t="s">
        <v>411</v>
      </c>
      <c r="F825" s="10" t="s">
        <v>73</v>
      </c>
      <c r="G825" s="10" t="s">
        <v>412</v>
      </c>
      <c r="H825" s="10" t="s">
        <v>413</v>
      </c>
    </row>
    <row r="826" spans="1:8">
      <c r="A826" s="13" t="s">
        <v>415</v>
      </c>
      <c r="B826" s="14">
        <v>2014</v>
      </c>
      <c r="C826" s="13" t="s">
        <v>135</v>
      </c>
      <c r="D826" s="15">
        <v>2.7</v>
      </c>
      <c r="E826" s="13" t="s">
        <v>411</v>
      </c>
      <c r="F826" s="13" t="s">
        <v>73</v>
      </c>
      <c r="G826" s="13" t="s">
        <v>412</v>
      </c>
      <c r="H826" s="13" t="s">
        <v>413</v>
      </c>
    </row>
    <row r="827" spans="1:8">
      <c r="A827" s="10" t="s">
        <v>416</v>
      </c>
      <c r="B827" s="11">
        <v>2014</v>
      </c>
      <c r="C827" s="10" t="s">
        <v>135</v>
      </c>
      <c r="D827" s="12">
        <v>23.2</v>
      </c>
      <c r="E827" s="10" t="s">
        <v>411</v>
      </c>
      <c r="F827" s="10" t="s">
        <v>73</v>
      </c>
      <c r="G827" s="10" t="s">
        <v>412</v>
      </c>
      <c r="H827" s="10" t="s">
        <v>413</v>
      </c>
    </row>
    <row r="828" spans="1:8">
      <c r="A828" s="13" t="s">
        <v>415</v>
      </c>
      <c r="B828" s="14">
        <v>2015</v>
      </c>
      <c r="C828" s="13" t="s">
        <v>135</v>
      </c>
      <c r="D828" s="15">
        <v>1.9</v>
      </c>
      <c r="E828" s="13" t="s">
        <v>411</v>
      </c>
      <c r="F828" s="13" t="s">
        <v>73</v>
      </c>
      <c r="G828" s="13" t="s">
        <v>412</v>
      </c>
      <c r="H828" s="13" t="s">
        <v>413</v>
      </c>
    </row>
    <row r="829" spans="1:8">
      <c r="A829" s="10" t="s">
        <v>416</v>
      </c>
      <c r="B829" s="11">
        <v>2015</v>
      </c>
      <c r="C829" s="10" t="s">
        <v>135</v>
      </c>
      <c r="D829" s="12">
        <v>23</v>
      </c>
      <c r="E829" s="10" t="s">
        <v>411</v>
      </c>
      <c r="F829" s="10" t="s">
        <v>73</v>
      </c>
      <c r="G829" s="10" t="s">
        <v>412</v>
      </c>
      <c r="H829" s="10" t="s">
        <v>413</v>
      </c>
    </row>
    <row r="830" spans="1:8">
      <c r="A830" s="13" t="s">
        <v>415</v>
      </c>
      <c r="B830" s="14">
        <v>2016</v>
      </c>
      <c r="C830" s="13" t="s">
        <v>135</v>
      </c>
      <c r="D830" s="15">
        <v>2.2999999999999998</v>
      </c>
      <c r="E830" s="13" t="s">
        <v>411</v>
      </c>
      <c r="F830" s="13" t="s">
        <v>73</v>
      </c>
      <c r="G830" s="13" t="s">
        <v>412</v>
      </c>
      <c r="H830" s="13" t="s">
        <v>413</v>
      </c>
    </row>
    <row r="831" spans="1:8">
      <c r="A831" s="10" t="s">
        <v>416</v>
      </c>
      <c r="B831" s="11">
        <v>2016</v>
      </c>
      <c r="C831" s="10" t="s">
        <v>135</v>
      </c>
      <c r="D831" s="12">
        <v>20</v>
      </c>
      <c r="E831" s="10" t="s">
        <v>411</v>
      </c>
      <c r="F831" s="10" t="s">
        <v>73</v>
      </c>
      <c r="G831" s="10" t="s">
        <v>412</v>
      </c>
      <c r="H831" s="10" t="s">
        <v>413</v>
      </c>
    </row>
    <row r="832" spans="1:8">
      <c r="A832" s="13" t="s">
        <v>415</v>
      </c>
      <c r="B832" s="14">
        <v>2017</v>
      </c>
      <c r="C832" s="13" t="s">
        <v>135</v>
      </c>
      <c r="D832" s="15">
        <v>3.4</v>
      </c>
      <c r="E832" s="13" t="s">
        <v>411</v>
      </c>
      <c r="F832" s="13" t="s">
        <v>73</v>
      </c>
      <c r="G832" s="13" t="s">
        <v>412</v>
      </c>
      <c r="H832" s="13" t="s">
        <v>413</v>
      </c>
    </row>
    <row r="833" spans="1:8">
      <c r="A833" s="10" t="s">
        <v>416</v>
      </c>
      <c r="B833" s="11">
        <v>2017</v>
      </c>
      <c r="C833" s="10" t="s">
        <v>135</v>
      </c>
      <c r="D833" s="12">
        <v>18.2</v>
      </c>
      <c r="E833" s="10" t="s">
        <v>411</v>
      </c>
      <c r="F833" s="10" t="s">
        <v>73</v>
      </c>
      <c r="G833" s="10" t="s">
        <v>412</v>
      </c>
      <c r="H833" s="10" t="s">
        <v>413</v>
      </c>
    </row>
    <row r="834" spans="1:8">
      <c r="A834" s="13" t="s">
        <v>415</v>
      </c>
      <c r="B834" s="14">
        <v>2018</v>
      </c>
      <c r="C834" s="13" t="s">
        <v>135</v>
      </c>
      <c r="D834" s="15">
        <v>2.2000000000000002</v>
      </c>
      <c r="E834" s="13" t="s">
        <v>411</v>
      </c>
      <c r="F834" s="13" t="s">
        <v>73</v>
      </c>
      <c r="G834" s="13" t="s">
        <v>412</v>
      </c>
      <c r="H834" s="13" t="s">
        <v>413</v>
      </c>
    </row>
    <row r="835" spans="1:8">
      <c r="A835" s="10" t="s">
        <v>416</v>
      </c>
      <c r="B835" s="11">
        <v>2018</v>
      </c>
      <c r="C835" s="10" t="s">
        <v>135</v>
      </c>
      <c r="D835" s="12">
        <v>21.3</v>
      </c>
      <c r="E835" s="10" t="s">
        <v>411</v>
      </c>
      <c r="F835" s="10" t="s">
        <v>73</v>
      </c>
      <c r="G835" s="10" t="s">
        <v>412</v>
      </c>
      <c r="H835" s="10" t="s">
        <v>413</v>
      </c>
    </row>
    <row r="836" spans="1:8">
      <c r="A836" s="13" t="s">
        <v>415</v>
      </c>
      <c r="B836" s="14">
        <v>2019</v>
      </c>
      <c r="C836" s="13" t="s">
        <v>135</v>
      </c>
      <c r="D836" s="15">
        <v>3.4</v>
      </c>
      <c r="E836" s="13" t="s">
        <v>411</v>
      </c>
      <c r="F836" s="13" t="s">
        <v>73</v>
      </c>
      <c r="G836" s="13" t="s">
        <v>412</v>
      </c>
      <c r="H836" s="13" t="s">
        <v>413</v>
      </c>
    </row>
    <row r="837" spans="1:8">
      <c r="A837" s="10" t="s">
        <v>416</v>
      </c>
      <c r="B837" s="11">
        <v>2019</v>
      </c>
      <c r="C837" s="10" t="s">
        <v>135</v>
      </c>
      <c r="D837" s="12">
        <v>24.6</v>
      </c>
      <c r="E837" s="10" t="s">
        <v>411</v>
      </c>
      <c r="F837" s="10" t="s">
        <v>73</v>
      </c>
      <c r="G837" s="10" t="s">
        <v>412</v>
      </c>
      <c r="H837" s="10" t="s">
        <v>413</v>
      </c>
    </row>
    <row r="838" spans="1:8">
      <c r="A838" s="13" t="s">
        <v>415</v>
      </c>
      <c r="B838" s="14">
        <v>2020</v>
      </c>
      <c r="C838" s="13" t="s">
        <v>135</v>
      </c>
      <c r="D838" s="15">
        <v>4.5</v>
      </c>
      <c r="E838" s="13" t="s">
        <v>411</v>
      </c>
      <c r="F838" s="13" t="s">
        <v>73</v>
      </c>
      <c r="G838" s="13" t="s">
        <v>412</v>
      </c>
      <c r="H838" s="13" t="s">
        <v>413</v>
      </c>
    </row>
    <row r="839" spans="1:8">
      <c r="A839" s="10" t="s">
        <v>416</v>
      </c>
      <c r="B839" s="11">
        <v>2020</v>
      </c>
      <c r="C839" s="10" t="s">
        <v>135</v>
      </c>
      <c r="D839" s="12">
        <v>22.4</v>
      </c>
      <c r="E839" s="10" t="s">
        <v>411</v>
      </c>
      <c r="F839" s="10" t="s">
        <v>73</v>
      </c>
      <c r="G839" s="10" t="s">
        <v>412</v>
      </c>
      <c r="H839" s="10" t="s">
        <v>413</v>
      </c>
    </row>
    <row r="840" spans="1:8">
      <c r="A840" s="13" t="s">
        <v>415</v>
      </c>
      <c r="B840" s="14">
        <v>2021</v>
      </c>
      <c r="C840" s="13" t="s">
        <v>135</v>
      </c>
      <c r="D840" s="15">
        <v>4.2</v>
      </c>
      <c r="E840" s="13" t="s">
        <v>411</v>
      </c>
      <c r="F840" s="13" t="s">
        <v>73</v>
      </c>
      <c r="G840" s="13" t="s">
        <v>412</v>
      </c>
      <c r="H840" s="13" t="s">
        <v>413</v>
      </c>
    </row>
    <row r="841" spans="1:8">
      <c r="A841" s="10" t="s">
        <v>416</v>
      </c>
      <c r="B841" s="11">
        <v>2021</v>
      </c>
      <c r="C841" s="10" t="s">
        <v>135</v>
      </c>
      <c r="D841" s="12">
        <v>28.7</v>
      </c>
      <c r="E841" s="10" t="s">
        <v>411</v>
      </c>
      <c r="F841" s="10" t="s">
        <v>73</v>
      </c>
      <c r="G841" s="10" t="s">
        <v>412</v>
      </c>
      <c r="H841" s="10" t="s">
        <v>413</v>
      </c>
    </row>
    <row r="842" spans="1:8">
      <c r="A842" s="13" t="s">
        <v>415</v>
      </c>
      <c r="B842" s="14">
        <v>2022</v>
      </c>
      <c r="C842" s="13" t="s">
        <v>135</v>
      </c>
      <c r="D842" s="15">
        <v>20.8</v>
      </c>
      <c r="E842" s="13" t="s">
        <v>411</v>
      </c>
      <c r="F842" s="13" t="s">
        <v>73</v>
      </c>
      <c r="G842" s="13" t="s">
        <v>412</v>
      </c>
      <c r="H842" s="13" t="s">
        <v>413</v>
      </c>
    </row>
    <row r="843" spans="1:8">
      <c r="A843" s="10" t="s">
        <v>416</v>
      </c>
      <c r="B843" s="11">
        <v>2022</v>
      </c>
      <c r="C843" s="10" t="s">
        <v>135</v>
      </c>
      <c r="D843" s="12">
        <v>15.5</v>
      </c>
      <c r="E843" s="10" t="s">
        <v>411</v>
      </c>
      <c r="F843" s="10" t="s">
        <v>73</v>
      </c>
      <c r="G843" s="10" t="s">
        <v>412</v>
      </c>
      <c r="H843" s="10" t="s">
        <v>413</v>
      </c>
    </row>
    <row r="844" spans="1:8">
      <c r="A844" s="13" t="s">
        <v>415</v>
      </c>
      <c r="B844" s="14">
        <v>2023</v>
      </c>
      <c r="C844" s="13" t="s">
        <v>135</v>
      </c>
      <c r="D844" s="15">
        <v>9.4</v>
      </c>
      <c r="E844" s="13" t="s">
        <v>411</v>
      </c>
      <c r="F844" s="13" t="s">
        <v>73</v>
      </c>
      <c r="G844" s="13" t="s">
        <v>412</v>
      </c>
      <c r="H844" s="13" t="s">
        <v>413</v>
      </c>
    </row>
    <row r="845" spans="1:8">
      <c r="A845" s="10" t="s">
        <v>416</v>
      </c>
      <c r="B845" s="11">
        <v>2023</v>
      </c>
      <c r="C845" s="10" t="s">
        <v>135</v>
      </c>
      <c r="D845" s="12">
        <v>33.200000000000003</v>
      </c>
      <c r="E845" s="10" t="s">
        <v>411</v>
      </c>
      <c r="F845" s="10" t="s">
        <v>73</v>
      </c>
      <c r="G845" s="10" t="s">
        <v>412</v>
      </c>
      <c r="H845" s="10" t="s">
        <v>413</v>
      </c>
    </row>
    <row r="846" spans="1:8">
      <c r="A846" t="s">
        <v>122</v>
      </c>
      <c r="B846">
        <v>2000</v>
      </c>
      <c r="C846" t="s">
        <v>135</v>
      </c>
      <c r="D846">
        <v>6.82</v>
      </c>
      <c r="E846" t="s">
        <v>411</v>
      </c>
      <c r="F846" t="s">
        <v>73</v>
      </c>
      <c r="G846" t="s">
        <v>412</v>
      </c>
      <c r="H846" t="s">
        <v>879</v>
      </c>
    </row>
    <row r="847" spans="1:8">
      <c r="A847" t="s">
        <v>123</v>
      </c>
      <c r="B847">
        <v>2000</v>
      </c>
      <c r="C847" t="s">
        <v>135</v>
      </c>
      <c r="D847">
        <v>9.26</v>
      </c>
      <c r="E847" t="s">
        <v>411</v>
      </c>
      <c r="F847" t="s">
        <v>73</v>
      </c>
      <c r="G847" t="s">
        <v>412</v>
      </c>
      <c r="H847" t="s">
        <v>879</v>
      </c>
    </row>
    <row r="848" spans="1:8">
      <c r="A848" t="s">
        <v>164</v>
      </c>
      <c r="B848">
        <v>2000</v>
      </c>
      <c r="C848" t="s">
        <v>135</v>
      </c>
      <c r="D848">
        <v>0.85</v>
      </c>
      <c r="E848" t="s">
        <v>411</v>
      </c>
      <c r="F848" t="s">
        <v>73</v>
      </c>
      <c r="G848" t="s">
        <v>412</v>
      </c>
      <c r="H848" t="s">
        <v>879</v>
      </c>
    </row>
    <row r="849" spans="1:8">
      <c r="A849" t="s">
        <v>140</v>
      </c>
      <c r="B849">
        <v>2000</v>
      </c>
      <c r="C849" t="s">
        <v>135</v>
      </c>
      <c r="D849">
        <v>0</v>
      </c>
      <c r="E849" t="s">
        <v>411</v>
      </c>
      <c r="F849" t="s">
        <v>73</v>
      </c>
      <c r="G849" t="s">
        <v>412</v>
      </c>
      <c r="H849" t="s">
        <v>879</v>
      </c>
    </row>
    <row r="850" spans="1:8">
      <c r="A850" t="s">
        <v>165</v>
      </c>
      <c r="B850">
        <v>2000</v>
      </c>
      <c r="C850" t="s">
        <v>135</v>
      </c>
      <c r="D850">
        <v>6.36</v>
      </c>
      <c r="E850" t="s">
        <v>411</v>
      </c>
      <c r="F850" t="s">
        <v>73</v>
      </c>
      <c r="G850" t="s">
        <v>412</v>
      </c>
      <c r="H850" t="s">
        <v>879</v>
      </c>
    </row>
    <row r="851" spans="1:8">
      <c r="A851" t="s">
        <v>122</v>
      </c>
      <c r="B851">
        <v>2001</v>
      </c>
      <c r="C851" t="s">
        <v>135</v>
      </c>
      <c r="D851">
        <v>7.06</v>
      </c>
      <c r="E851" t="s">
        <v>411</v>
      </c>
      <c r="F851" t="s">
        <v>73</v>
      </c>
      <c r="G851" t="s">
        <v>412</v>
      </c>
      <c r="H851" t="s">
        <v>879</v>
      </c>
    </row>
    <row r="852" spans="1:8">
      <c r="A852" t="s">
        <v>123</v>
      </c>
      <c r="B852">
        <v>2001</v>
      </c>
      <c r="C852" t="s">
        <v>135</v>
      </c>
      <c r="D852">
        <v>9.15</v>
      </c>
      <c r="E852" t="s">
        <v>411</v>
      </c>
      <c r="F852" t="s">
        <v>73</v>
      </c>
      <c r="G852" t="s">
        <v>412</v>
      </c>
      <c r="H852" t="s">
        <v>879</v>
      </c>
    </row>
    <row r="853" spans="1:8">
      <c r="A853" t="s">
        <v>164</v>
      </c>
      <c r="B853">
        <v>2001</v>
      </c>
      <c r="C853" t="s">
        <v>135</v>
      </c>
      <c r="D853">
        <v>0.6</v>
      </c>
      <c r="E853" t="s">
        <v>411</v>
      </c>
      <c r="F853" t="s">
        <v>73</v>
      </c>
      <c r="G853" t="s">
        <v>412</v>
      </c>
      <c r="H853" t="s">
        <v>879</v>
      </c>
    </row>
    <row r="854" spans="1:8">
      <c r="A854" t="s">
        <v>140</v>
      </c>
      <c r="B854">
        <v>2001</v>
      </c>
      <c r="C854" t="s">
        <v>135</v>
      </c>
      <c r="D854">
        <v>0</v>
      </c>
      <c r="E854" t="s">
        <v>411</v>
      </c>
      <c r="F854" t="s">
        <v>73</v>
      </c>
      <c r="G854" t="s">
        <v>412</v>
      </c>
      <c r="H854" t="s">
        <v>879</v>
      </c>
    </row>
    <row r="855" spans="1:8">
      <c r="A855" t="s">
        <v>165</v>
      </c>
      <c r="B855">
        <v>2001</v>
      </c>
      <c r="C855" t="s">
        <v>135</v>
      </c>
      <c r="D855">
        <v>7.34</v>
      </c>
      <c r="E855" t="s">
        <v>411</v>
      </c>
      <c r="F855" t="s">
        <v>73</v>
      </c>
      <c r="G855" t="s">
        <v>412</v>
      </c>
      <c r="H855" t="s">
        <v>879</v>
      </c>
    </row>
    <row r="856" spans="1:8">
      <c r="A856" t="s">
        <v>122</v>
      </c>
      <c r="B856">
        <v>2002</v>
      </c>
      <c r="C856" t="s">
        <v>135</v>
      </c>
      <c r="D856">
        <v>6.82</v>
      </c>
      <c r="E856" t="s">
        <v>411</v>
      </c>
      <c r="F856" t="s">
        <v>73</v>
      </c>
      <c r="G856" t="s">
        <v>412</v>
      </c>
      <c r="H856" t="s">
        <v>879</v>
      </c>
    </row>
    <row r="857" spans="1:8">
      <c r="A857" t="s">
        <v>123</v>
      </c>
      <c r="B857">
        <v>2002</v>
      </c>
      <c r="C857" t="s">
        <v>135</v>
      </c>
      <c r="D857">
        <v>10.83</v>
      </c>
      <c r="E857" t="s">
        <v>411</v>
      </c>
      <c r="F857" t="s">
        <v>73</v>
      </c>
      <c r="G857" t="s">
        <v>412</v>
      </c>
      <c r="H857" t="s">
        <v>879</v>
      </c>
    </row>
    <row r="858" spans="1:8">
      <c r="A858" t="s">
        <v>164</v>
      </c>
      <c r="B858">
        <v>2002</v>
      </c>
      <c r="C858" t="s">
        <v>135</v>
      </c>
      <c r="D858">
        <v>0.91</v>
      </c>
      <c r="E858" t="s">
        <v>411</v>
      </c>
      <c r="F858" t="s">
        <v>73</v>
      </c>
      <c r="G858" t="s">
        <v>412</v>
      </c>
      <c r="H858" t="s">
        <v>879</v>
      </c>
    </row>
    <row r="859" spans="1:8">
      <c r="A859" t="s">
        <v>140</v>
      </c>
      <c r="B859">
        <v>2002</v>
      </c>
      <c r="C859" t="s">
        <v>135</v>
      </c>
      <c r="D859">
        <v>0</v>
      </c>
      <c r="E859" t="s">
        <v>411</v>
      </c>
      <c r="F859" t="s">
        <v>73</v>
      </c>
      <c r="G859" t="s">
        <v>412</v>
      </c>
      <c r="H859" t="s">
        <v>879</v>
      </c>
    </row>
    <row r="860" spans="1:8">
      <c r="A860" t="s">
        <v>165</v>
      </c>
      <c r="B860">
        <v>2002</v>
      </c>
      <c r="C860" t="s">
        <v>135</v>
      </c>
      <c r="D860">
        <v>5.77</v>
      </c>
      <c r="E860" t="s">
        <v>411</v>
      </c>
      <c r="F860" t="s">
        <v>73</v>
      </c>
      <c r="G860" t="s">
        <v>412</v>
      </c>
      <c r="H860" t="s">
        <v>879</v>
      </c>
    </row>
    <row r="861" spans="1:8">
      <c r="A861" t="s">
        <v>122</v>
      </c>
      <c r="B861">
        <v>2003</v>
      </c>
      <c r="C861" t="s">
        <v>135</v>
      </c>
      <c r="D861">
        <v>6.2</v>
      </c>
      <c r="E861" t="s">
        <v>411</v>
      </c>
      <c r="F861" t="s">
        <v>73</v>
      </c>
      <c r="G861" t="s">
        <v>412</v>
      </c>
      <c r="H861" t="s">
        <v>879</v>
      </c>
    </row>
    <row r="862" spans="1:8">
      <c r="A862" t="s">
        <v>123</v>
      </c>
      <c r="B862">
        <v>2003</v>
      </c>
      <c r="C862" t="s">
        <v>135</v>
      </c>
      <c r="D862">
        <v>13.04</v>
      </c>
      <c r="E862" t="s">
        <v>411</v>
      </c>
      <c r="F862" t="s">
        <v>73</v>
      </c>
      <c r="G862" t="s">
        <v>412</v>
      </c>
      <c r="H862" t="s">
        <v>879</v>
      </c>
    </row>
    <row r="863" spans="1:8">
      <c r="A863" t="s">
        <v>164</v>
      </c>
      <c r="B863">
        <v>2003</v>
      </c>
      <c r="C863" t="s">
        <v>135</v>
      </c>
      <c r="D863">
        <v>0.6</v>
      </c>
      <c r="E863" t="s">
        <v>411</v>
      </c>
      <c r="F863" t="s">
        <v>73</v>
      </c>
      <c r="G863" t="s">
        <v>412</v>
      </c>
      <c r="H863" t="s">
        <v>879</v>
      </c>
    </row>
    <row r="864" spans="1:8">
      <c r="A864" t="s">
        <v>140</v>
      </c>
      <c r="B864">
        <v>2003</v>
      </c>
      <c r="C864" t="s">
        <v>135</v>
      </c>
      <c r="D864">
        <v>0</v>
      </c>
      <c r="E864" t="s">
        <v>411</v>
      </c>
      <c r="F864" t="s">
        <v>73</v>
      </c>
      <c r="G864" t="s">
        <v>412</v>
      </c>
      <c r="H864" t="s">
        <v>879</v>
      </c>
    </row>
    <row r="865" spans="1:8">
      <c r="A865" t="s">
        <v>165</v>
      </c>
      <c r="B865">
        <v>2003</v>
      </c>
      <c r="C865" t="s">
        <v>135</v>
      </c>
      <c r="D865">
        <v>4.4400000000000004</v>
      </c>
      <c r="E865" t="s">
        <v>411</v>
      </c>
      <c r="F865" t="s">
        <v>73</v>
      </c>
      <c r="G865" t="s">
        <v>412</v>
      </c>
      <c r="H865" t="s">
        <v>879</v>
      </c>
    </row>
    <row r="866" spans="1:8">
      <c r="A866" t="s">
        <v>122</v>
      </c>
      <c r="B866">
        <v>2004</v>
      </c>
      <c r="C866" t="s">
        <v>135</v>
      </c>
      <c r="D866">
        <v>6.23</v>
      </c>
      <c r="E866" t="s">
        <v>411</v>
      </c>
      <c r="F866" t="s">
        <v>73</v>
      </c>
      <c r="G866" t="s">
        <v>412</v>
      </c>
      <c r="H866" t="s">
        <v>879</v>
      </c>
    </row>
    <row r="867" spans="1:8">
      <c r="A867" t="s">
        <v>123</v>
      </c>
      <c r="B867">
        <v>2004</v>
      </c>
      <c r="C867" t="s">
        <v>135</v>
      </c>
      <c r="D867">
        <v>12.9</v>
      </c>
      <c r="E867" t="s">
        <v>411</v>
      </c>
      <c r="F867" t="s">
        <v>73</v>
      </c>
      <c r="G867" t="s">
        <v>412</v>
      </c>
      <c r="H867" t="s">
        <v>879</v>
      </c>
    </row>
    <row r="868" spans="1:8">
      <c r="A868" t="s">
        <v>164</v>
      </c>
      <c r="B868">
        <v>2004</v>
      </c>
      <c r="C868" t="s">
        <v>135</v>
      </c>
      <c r="D868">
        <v>0.63</v>
      </c>
      <c r="E868" t="s">
        <v>411</v>
      </c>
      <c r="F868" t="s">
        <v>73</v>
      </c>
      <c r="G868" t="s">
        <v>412</v>
      </c>
      <c r="H868" t="s">
        <v>879</v>
      </c>
    </row>
    <row r="869" spans="1:8">
      <c r="A869" t="s">
        <v>140</v>
      </c>
      <c r="B869">
        <v>2004</v>
      </c>
      <c r="C869" t="s">
        <v>135</v>
      </c>
      <c r="D869">
        <v>0</v>
      </c>
      <c r="E869" t="s">
        <v>411</v>
      </c>
      <c r="F869" t="s">
        <v>73</v>
      </c>
      <c r="G869" t="s">
        <v>412</v>
      </c>
      <c r="H869" t="s">
        <v>879</v>
      </c>
    </row>
    <row r="870" spans="1:8">
      <c r="A870" t="s">
        <v>165</v>
      </c>
      <c r="B870">
        <v>2004</v>
      </c>
      <c r="C870" t="s">
        <v>135</v>
      </c>
      <c r="D870">
        <v>4.66</v>
      </c>
      <c r="E870" t="s">
        <v>411</v>
      </c>
      <c r="F870" t="s">
        <v>73</v>
      </c>
      <c r="G870" t="s">
        <v>412</v>
      </c>
      <c r="H870" t="s">
        <v>879</v>
      </c>
    </row>
    <row r="871" spans="1:8">
      <c r="A871" t="s">
        <v>122</v>
      </c>
      <c r="B871">
        <v>2005</v>
      </c>
      <c r="C871" t="s">
        <v>135</v>
      </c>
      <c r="D871">
        <v>6.39</v>
      </c>
      <c r="E871" t="s">
        <v>411</v>
      </c>
      <c r="F871" t="s">
        <v>73</v>
      </c>
      <c r="G871" t="s">
        <v>412</v>
      </c>
      <c r="H871" t="s">
        <v>879</v>
      </c>
    </row>
    <row r="872" spans="1:8">
      <c r="A872" t="s">
        <v>123</v>
      </c>
      <c r="B872">
        <v>2005</v>
      </c>
      <c r="C872" t="s">
        <v>135</v>
      </c>
      <c r="D872">
        <v>11.57</v>
      </c>
      <c r="E872" t="s">
        <v>411</v>
      </c>
      <c r="F872" t="s">
        <v>73</v>
      </c>
      <c r="G872" t="s">
        <v>412</v>
      </c>
      <c r="H872" t="s">
        <v>879</v>
      </c>
    </row>
    <row r="873" spans="1:8">
      <c r="A873" t="s">
        <v>164</v>
      </c>
      <c r="B873">
        <v>2005</v>
      </c>
      <c r="C873" t="s">
        <v>135</v>
      </c>
      <c r="D873">
        <v>0.63</v>
      </c>
      <c r="E873" t="s">
        <v>411</v>
      </c>
      <c r="F873" t="s">
        <v>73</v>
      </c>
      <c r="G873" t="s">
        <v>412</v>
      </c>
      <c r="H873" t="s">
        <v>879</v>
      </c>
    </row>
    <row r="874" spans="1:8">
      <c r="A874" t="s">
        <v>140</v>
      </c>
      <c r="B874">
        <v>2005</v>
      </c>
      <c r="C874" t="s">
        <v>135</v>
      </c>
      <c r="D874">
        <v>0</v>
      </c>
      <c r="E874" t="s">
        <v>411</v>
      </c>
      <c r="F874" t="s">
        <v>73</v>
      </c>
      <c r="G874" t="s">
        <v>412</v>
      </c>
      <c r="H874" t="s">
        <v>879</v>
      </c>
    </row>
    <row r="875" spans="1:8">
      <c r="A875" t="s">
        <v>165</v>
      </c>
      <c r="B875">
        <v>2005</v>
      </c>
      <c r="C875" t="s">
        <v>135</v>
      </c>
      <c r="D875">
        <v>5.75</v>
      </c>
      <c r="E875" t="s">
        <v>411</v>
      </c>
      <c r="F875" t="s">
        <v>73</v>
      </c>
      <c r="G875" t="s">
        <v>412</v>
      </c>
      <c r="H875" t="s">
        <v>879</v>
      </c>
    </row>
    <row r="876" spans="1:8">
      <c r="A876" t="s">
        <v>122</v>
      </c>
      <c r="B876">
        <v>2006</v>
      </c>
      <c r="C876" t="s">
        <v>135</v>
      </c>
      <c r="D876">
        <v>5.88</v>
      </c>
      <c r="E876" t="s">
        <v>411</v>
      </c>
      <c r="F876" t="s">
        <v>73</v>
      </c>
      <c r="G876" t="s">
        <v>412</v>
      </c>
      <c r="H876" t="s">
        <v>879</v>
      </c>
    </row>
    <row r="877" spans="1:8">
      <c r="A877" t="s">
        <v>123</v>
      </c>
      <c r="B877">
        <v>2006</v>
      </c>
      <c r="C877" t="s">
        <v>135</v>
      </c>
      <c r="D877">
        <v>13.79</v>
      </c>
      <c r="E877" t="s">
        <v>411</v>
      </c>
      <c r="F877" t="s">
        <v>73</v>
      </c>
      <c r="G877" t="s">
        <v>412</v>
      </c>
      <c r="H877" t="s">
        <v>879</v>
      </c>
    </row>
    <row r="878" spans="1:8">
      <c r="A878" t="s">
        <v>164</v>
      </c>
      <c r="B878">
        <v>2006</v>
      </c>
      <c r="C878" t="s">
        <v>135</v>
      </c>
      <c r="D878">
        <v>0.72</v>
      </c>
      <c r="E878" t="s">
        <v>411</v>
      </c>
      <c r="F878" t="s">
        <v>73</v>
      </c>
      <c r="G878" t="s">
        <v>412</v>
      </c>
      <c r="H878" t="s">
        <v>879</v>
      </c>
    </row>
    <row r="879" spans="1:8">
      <c r="A879" t="s">
        <v>140</v>
      </c>
      <c r="B879">
        <v>2006</v>
      </c>
      <c r="C879" t="s">
        <v>135</v>
      </c>
      <c r="D879">
        <v>0</v>
      </c>
      <c r="E879" t="s">
        <v>411</v>
      </c>
      <c r="F879" t="s">
        <v>73</v>
      </c>
      <c r="G879" t="s">
        <v>412</v>
      </c>
      <c r="H879" t="s">
        <v>879</v>
      </c>
    </row>
    <row r="880" spans="1:8">
      <c r="A880" t="s">
        <v>165</v>
      </c>
      <c r="B880">
        <v>2006</v>
      </c>
      <c r="C880" t="s">
        <v>135</v>
      </c>
      <c r="D880">
        <v>4.93</v>
      </c>
      <c r="E880" t="s">
        <v>411</v>
      </c>
      <c r="F880" t="s">
        <v>73</v>
      </c>
      <c r="G880" t="s">
        <v>412</v>
      </c>
      <c r="H880" t="s">
        <v>879</v>
      </c>
    </row>
    <row r="881" spans="1:8">
      <c r="A881" t="s">
        <v>122</v>
      </c>
      <c r="B881">
        <v>2007</v>
      </c>
      <c r="C881" t="s">
        <v>135</v>
      </c>
      <c r="D881">
        <v>5.44</v>
      </c>
      <c r="E881" t="s">
        <v>411</v>
      </c>
      <c r="F881" t="s">
        <v>73</v>
      </c>
      <c r="G881" t="s">
        <v>412</v>
      </c>
      <c r="H881" t="s">
        <v>879</v>
      </c>
    </row>
    <row r="882" spans="1:8">
      <c r="A882" t="s">
        <v>123</v>
      </c>
      <c r="B882">
        <v>2007</v>
      </c>
      <c r="C882" t="s">
        <v>135</v>
      </c>
      <c r="D882">
        <v>16.059999999999999</v>
      </c>
      <c r="E882" t="s">
        <v>411</v>
      </c>
      <c r="F882" t="s">
        <v>73</v>
      </c>
      <c r="G882" t="s">
        <v>412</v>
      </c>
      <c r="H882" t="s">
        <v>879</v>
      </c>
    </row>
    <row r="883" spans="1:8">
      <c r="A883" t="s">
        <v>164</v>
      </c>
      <c r="B883">
        <v>2007</v>
      </c>
      <c r="C883" t="s">
        <v>135</v>
      </c>
      <c r="D883">
        <v>0.67</v>
      </c>
      <c r="E883" t="s">
        <v>411</v>
      </c>
      <c r="F883" t="s">
        <v>73</v>
      </c>
      <c r="G883" t="s">
        <v>412</v>
      </c>
      <c r="H883" t="s">
        <v>879</v>
      </c>
    </row>
    <row r="884" spans="1:8">
      <c r="A884" t="s">
        <v>140</v>
      </c>
      <c r="B884">
        <v>2007</v>
      </c>
      <c r="C884" t="s">
        <v>135</v>
      </c>
      <c r="D884">
        <v>0</v>
      </c>
      <c r="E884" t="s">
        <v>411</v>
      </c>
      <c r="F884" t="s">
        <v>73</v>
      </c>
      <c r="G884" t="s">
        <v>412</v>
      </c>
      <c r="H884" t="s">
        <v>879</v>
      </c>
    </row>
    <row r="885" spans="1:8">
      <c r="A885" t="s">
        <v>165</v>
      </c>
      <c r="B885">
        <v>2007</v>
      </c>
      <c r="C885" t="s">
        <v>135</v>
      </c>
      <c r="D885">
        <v>4.0199999999999996</v>
      </c>
      <c r="E885" t="s">
        <v>411</v>
      </c>
      <c r="F885" t="s">
        <v>73</v>
      </c>
      <c r="G885" t="s">
        <v>412</v>
      </c>
      <c r="H885" t="s">
        <v>879</v>
      </c>
    </row>
    <row r="886" spans="1:8">
      <c r="A886" t="s">
        <v>122</v>
      </c>
      <c r="B886">
        <v>2008</v>
      </c>
      <c r="C886" t="s">
        <v>135</v>
      </c>
      <c r="D886">
        <v>5.14</v>
      </c>
      <c r="E886" t="s">
        <v>411</v>
      </c>
      <c r="F886" t="s">
        <v>73</v>
      </c>
      <c r="G886" t="s">
        <v>412</v>
      </c>
      <c r="H886" t="s">
        <v>879</v>
      </c>
    </row>
    <row r="887" spans="1:8">
      <c r="A887" t="s">
        <v>123</v>
      </c>
      <c r="B887">
        <v>2008</v>
      </c>
      <c r="C887" t="s">
        <v>135</v>
      </c>
      <c r="D887">
        <v>16.72</v>
      </c>
      <c r="E887" t="s">
        <v>411</v>
      </c>
      <c r="F887" t="s">
        <v>73</v>
      </c>
      <c r="G887" t="s">
        <v>412</v>
      </c>
      <c r="H887" t="s">
        <v>879</v>
      </c>
    </row>
    <row r="888" spans="1:8">
      <c r="A888" t="s">
        <v>164</v>
      </c>
      <c r="B888">
        <v>2008</v>
      </c>
      <c r="C888" t="s">
        <v>135</v>
      </c>
      <c r="D888">
        <v>0.97</v>
      </c>
      <c r="E888" t="s">
        <v>411</v>
      </c>
      <c r="F888" t="s">
        <v>73</v>
      </c>
      <c r="G888" t="s">
        <v>412</v>
      </c>
      <c r="H888" t="s">
        <v>879</v>
      </c>
    </row>
    <row r="889" spans="1:8">
      <c r="A889" t="s">
        <v>140</v>
      </c>
      <c r="B889">
        <v>2008</v>
      </c>
      <c r="C889" t="s">
        <v>135</v>
      </c>
      <c r="D889">
        <v>0</v>
      </c>
      <c r="E889" t="s">
        <v>411</v>
      </c>
      <c r="F889" t="s">
        <v>73</v>
      </c>
      <c r="G889" t="s">
        <v>412</v>
      </c>
      <c r="H889" t="s">
        <v>879</v>
      </c>
    </row>
    <row r="890" spans="1:8">
      <c r="A890" t="s">
        <v>165</v>
      </c>
      <c r="B890">
        <v>2008</v>
      </c>
      <c r="C890" t="s">
        <v>135</v>
      </c>
      <c r="D890">
        <v>4.43</v>
      </c>
      <c r="E890" t="s">
        <v>411</v>
      </c>
      <c r="F890" t="s">
        <v>73</v>
      </c>
      <c r="G890" t="s">
        <v>412</v>
      </c>
      <c r="H890" t="s">
        <v>879</v>
      </c>
    </row>
    <row r="891" spans="1:8">
      <c r="A891" t="s">
        <v>122</v>
      </c>
      <c r="B891">
        <v>2009</v>
      </c>
      <c r="C891" t="s">
        <v>135</v>
      </c>
      <c r="D891">
        <v>4</v>
      </c>
      <c r="E891" t="s">
        <v>411</v>
      </c>
      <c r="F891" t="s">
        <v>73</v>
      </c>
      <c r="G891" t="s">
        <v>412</v>
      </c>
      <c r="H891" t="s">
        <v>879</v>
      </c>
    </row>
    <row r="892" spans="1:8">
      <c r="A892" t="s">
        <v>123</v>
      </c>
      <c r="B892">
        <v>2009</v>
      </c>
      <c r="C892" t="s">
        <v>135</v>
      </c>
      <c r="D892">
        <v>16.3</v>
      </c>
      <c r="E892" t="s">
        <v>411</v>
      </c>
      <c r="F892" t="s">
        <v>73</v>
      </c>
      <c r="G892" t="s">
        <v>412</v>
      </c>
      <c r="H892" t="s">
        <v>879</v>
      </c>
    </row>
    <row r="893" spans="1:8">
      <c r="A893" t="s">
        <v>164</v>
      </c>
      <c r="B893">
        <v>2009</v>
      </c>
      <c r="C893" t="s">
        <v>135</v>
      </c>
      <c r="D893">
        <v>0.9</v>
      </c>
      <c r="E893" t="s">
        <v>411</v>
      </c>
      <c r="F893" t="s">
        <v>73</v>
      </c>
      <c r="G893" t="s">
        <v>412</v>
      </c>
      <c r="H893" t="s">
        <v>879</v>
      </c>
    </row>
    <row r="894" spans="1:8">
      <c r="A894" t="s">
        <v>140</v>
      </c>
      <c r="B894">
        <v>2009</v>
      </c>
      <c r="C894" t="s">
        <v>135</v>
      </c>
      <c r="D894">
        <v>0</v>
      </c>
      <c r="E894" t="s">
        <v>411</v>
      </c>
      <c r="F894" t="s">
        <v>73</v>
      </c>
      <c r="G894" t="s">
        <v>412</v>
      </c>
      <c r="H894" t="s">
        <v>879</v>
      </c>
    </row>
    <row r="895" spans="1:8">
      <c r="A895" t="s">
        <v>165</v>
      </c>
      <c r="B895">
        <v>2009</v>
      </c>
      <c r="C895" t="s">
        <v>135</v>
      </c>
      <c r="D895">
        <v>3.52</v>
      </c>
      <c r="E895" t="s">
        <v>411</v>
      </c>
      <c r="F895" t="s">
        <v>73</v>
      </c>
      <c r="G895" t="s">
        <v>412</v>
      </c>
      <c r="H895" t="s">
        <v>879</v>
      </c>
    </row>
    <row r="896" spans="1:8">
      <c r="A896" t="s">
        <v>122</v>
      </c>
      <c r="B896">
        <v>2010</v>
      </c>
      <c r="C896" t="s">
        <v>135</v>
      </c>
      <c r="D896">
        <v>3.55</v>
      </c>
      <c r="E896" t="s">
        <v>411</v>
      </c>
      <c r="F896" t="s">
        <v>73</v>
      </c>
      <c r="G896" t="s">
        <v>412</v>
      </c>
      <c r="H896" t="s">
        <v>879</v>
      </c>
    </row>
    <row r="897" spans="1:8">
      <c r="A897" t="s">
        <v>123</v>
      </c>
      <c r="B897">
        <v>2010</v>
      </c>
      <c r="C897" t="s">
        <v>135</v>
      </c>
      <c r="D897">
        <v>18.11</v>
      </c>
      <c r="E897" t="s">
        <v>411</v>
      </c>
      <c r="F897" t="s">
        <v>73</v>
      </c>
      <c r="G897" t="s">
        <v>412</v>
      </c>
      <c r="H897" t="s">
        <v>879</v>
      </c>
    </row>
    <row r="898" spans="1:8">
      <c r="A898" t="s">
        <v>164</v>
      </c>
      <c r="B898">
        <v>2010</v>
      </c>
      <c r="C898" t="s">
        <v>135</v>
      </c>
      <c r="D898">
        <v>0.6</v>
      </c>
      <c r="E898" t="s">
        <v>411</v>
      </c>
      <c r="F898" t="s">
        <v>73</v>
      </c>
      <c r="G898" t="s">
        <v>412</v>
      </c>
      <c r="H898" t="s">
        <v>879</v>
      </c>
    </row>
    <row r="899" spans="1:8">
      <c r="A899" t="s">
        <v>140</v>
      </c>
      <c r="B899">
        <v>2010</v>
      </c>
      <c r="C899" t="s">
        <v>135</v>
      </c>
      <c r="D899">
        <v>0</v>
      </c>
      <c r="E899" t="s">
        <v>411</v>
      </c>
      <c r="F899" t="s">
        <v>73</v>
      </c>
      <c r="G899" t="s">
        <v>412</v>
      </c>
      <c r="H899" t="s">
        <v>879</v>
      </c>
    </row>
    <row r="900" spans="1:8">
      <c r="A900" t="s">
        <v>165</v>
      </c>
      <c r="B900">
        <v>2010</v>
      </c>
      <c r="C900" t="s">
        <v>135</v>
      </c>
      <c r="D900">
        <v>2.73</v>
      </c>
      <c r="E900" t="s">
        <v>411</v>
      </c>
      <c r="F900" t="s">
        <v>73</v>
      </c>
      <c r="G900" t="s">
        <v>412</v>
      </c>
      <c r="H900" t="s">
        <v>879</v>
      </c>
    </row>
    <row r="901" spans="1:8">
      <c r="A901" t="s">
        <v>122</v>
      </c>
      <c r="B901">
        <v>2011</v>
      </c>
      <c r="C901" t="s">
        <v>135</v>
      </c>
      <c r="D901">
        <v>3.94</v>
      </c>
      <c r="E901" t="s">
        <v>411</v>
      </c>
      <c r="F901" t="s">
        <v>73</v>
      </c>
      <c r="G901" t="s">
        <v>412</v>
      </c>
      <c r="H901" t="s">
        <v>879</v>
      </c>
    </row>
    <row r="902" spans="1:8">
      <c r="A902" t="s">
        <v>123</v>
      </c>
      <c r="B902">
        <v>2011</v>
      </c>
      <c r="C902" t="s">
        <v>135</v>
      </c>
      <c r="D902">
        <v>15.43</v>
      </c>
      <c r="E902" t="s">
        <v>411</v>
      </c>
      <c r="F902" t="s">
        <v>73</v>
      </c>
      <c r="G902" t="s">
        <v>412</v>
      </c>
      <c r="H902" t="s">
        <v>879</v>
      </c>
    </row>
    <row r="903" spans="1:8">
      <c r="A903" t="s">
        <v>164</v>
      </c>
      <c r="B903">
        <v>2011</v>
      </c>
      <c r="C903" t="s">
        <v>135</v>
      </c>
      <c r="D903">
        <v>0.71</v>
      </c>
      <c r="E903" t="s">
        <v>411</v>
      </c>
      <c r="F903" t="s">
        <v>73</v>
      </c>
      <c r="G903" t="s">
        <v>412</v>
      </c>
      <c r="H903" t="s">
        <v>879</v>
      </c>
    </row>
    <row r="904" spans="1:8">
      <c r="A904" t="s">
        <v>140</v>
      </c>
      <c r="B904">
        <v>2011</v>
      </c>
      <c r="C904" t="s">
        <v>135</v>
      </c>
      <c r="D904">
        <v>0</v>
      </c>
      <c r="E904" t="s">
        <v>411</v>
      </c>
      <c r="F904" t="s">
        <v>73</v>
      </c>
      <c r="G904" t="s">
        <v>412</v>
      </c>
      <c r="H904" t="s">
        <v>879</v>
      </c>
    </row>
    <row r="905" spans="1:8">
      <c r="A905" t="s">
        <v>165</v>
      </c>
      <c r="B905">
        <v>2011</v>
      </c>
      <c r="C905" t="s">
        <v>135</v>
      </c>
      <c r="D905">
        <v>2.33</v>
      </c>
      <c r="E905" t="s">
        <v>411</v>
      </c>
      <c r="F905" t="s">
        <v>73</v>
      </c>
      <c r="G905" t="s">
        <v>412</v>
      </c>
      <c r="H905" t="s">
        <v>879</v>
      </c>
    </row>
    <row r="906" spans="1:8">
      <c r="A906" t="s">
        <v>122</v>
      </c>
      <c r="B906">
        <v>2012</v>
      </c>
      <c r="C906" t="s">
        <v>135</v>
      </c>
      <c r="D906">
        <v>5.0199999999999996</v>
      </c>
      <c r="E906" t="s">
        <v>411</v>
      </c>
      <c r="F906" t="s">
        <v>73</v>
      </c>
      <c r="G906" t="s">
        <v>412</v>
      </c>
      <c r="H906" t="s">
        <v>879</v>
      </c>
    </row>
    <row r="907" spans="1:8">
      <c r="A907" t="s">
        <v>123</v>
      </c>
      <c r="B907">
        <v>2012</v>
      </c>
      <c r="C907" t="s">
        <v>135</v>
      </c>
      <c r="D907">
        <v>14.14</v>
      </c>
      <c r="E907" t="s">
        <v>411</v>
      </c>
      <c r="F907" t="s">
        <v>73</v>
      </c>
      <c r="G907" t="s">
        <v>412</v>
      </c>
      <c r="H907" t="s">
        <v>879</v>
      </c>
    </row>
    <row r="908" spans="1:8">
      <c r="A908" t="s">
        <v>164</v>
      </c>
      <c r="B908">
        <v>2012</v>
      </c>
      <c r="C908" t="s">
        <v>135</v>
      </c>
      <c r="D908">
        <v>0.8</v>
      </c>
      <c r="E908" t="s">
        <v>411</v>
      </c>
      <c r="F908" t="s">
        <v>73</v>
      </c>
      <c r="G908" t="s">
        <v>412</v>
      </c>
      <c r="H908" t="s">
        <v>879</v>
      </c>
    </row>
    <row r="909" spans="1:8">
      <c r="A909" t="s">
        <v>140</v>
      </c>
      <c r="B909">
        <v>2012</v>
      </c>
      <c r="C909" t="s">
        <v>135</v>
      </c>
      <c r="D909">
        <v>0</v>
      </c>
      <c r="E909" t="s">
        <v>411</v>
      </c>
      <c r="F909" t="s">
        <v>73</v>
      </c>
      <c r="G909" t="s">
        <v>412</v>
      </c>
      <c r="H909" t="s">
        <v>879</v>
      </c>
    </row>
    <row r="910" spans="1:8">
      <c r="A910" t="s">
        <v>165</v>
      </c>
      <c r="B910">
        <v>2012</v>
      </c>
      <c r="C910" t="s">
        <v>135</v>
      </c>
      <c r="D910">
        <v>2.68</v>
      </c>
      <c r="E910" t="s">
        <v>411</v>
      </c>
      <c r="F910" t="s">
        <v>73</v>
      </c>
      <c r="G910" t="s">
        <v>412</v>
      </c>
      <c r="H910" t="s">
        <v>879</v>
      </c>
    </row>
    <row r="911" spans="1:8">
      <c r="A911" t="s">
        <v>122</v>
      </c>
      <c r="B911">
        <v>2013</v>
      </c>
      <c r="C911" t="s">
        <v>135</v>
      </c>
      <c r="D911">
        <v>4.28</v>
      </c>
      <c r="E911" t="s">
        <v>411</v>
      </c>
      <c r="F911" t="s">
        <v>73</v>
      </c>
      <c r="G911" t="s">
        <v>412</v>
      </c>
      <c r="H911" t="s">
        <v>879</v>
      </c>
    </row>
    <row r="912" spans="1:8">
      <c r="A912" t="s">
        <v>123</v>
      </c>
      <c r="B912">
        <v>2013</v>
      </c>
      <c r="C912" t="s">
        <v>135</v>
      </c>
      <c r="D912">
        <v>13.13</v>
      </c>
      <c r="E912" t="s">
        <v>411</v>
      </c>
      <c r="F912" t="s">
        <v>73</v>
      </c>
      <c r="G912" t="s">
        <v>412</v>
      </c>
      <c r="H912" t="s">
        <v>879</v>
      </c>
    </row>
    <row r="913" spans="1:8">
      <c r="A913" t="s">
        <v>164</v>
      </c>
      <c r="B913">
        <v>2013</v>
      </c>
      <c r="C913" t="s">
        <v>135</v>
      </c>
      <c r="D913">
        <v>0.6</v>
      </c>
      <c r="E913" t="s">
        <v>411</v>
      </c>
      <c r="F913" t="s">
        <v>73</v>
      </c>
      <c r="G913" t="s">
        <v>412</v>
      </c>
      <c r="H913" t="s">
        <v>879</v>
      </c>
    </row>
    <row r="914" spans="1:8">
      <c r="A914" t="s">
        <v>140</v>
      </c>
      <c r="B914">
        <v>2013</v>
      </c>
      <c r="C914" t="s">
        <v>135</v>
      </c>
      <c r="D914">
        <v>0</v>
      </c>
      <c r="E914" t="s">
        <v>411</v>
      </c>
      <c r="F914" t="s">
        <v>73</v>
      </c>
      <c r="G914" t="s">
        <v>412</v>
      </c>
      <c r="H914" t="s">
        <v>879</v>
      </c>
    </row>
    <row r="915" spans="1:8">
      <c r="A915" t="s">
        <v>165</v>
      </c>
      <c r="B915">
        <v>2013</v>
      </c>
      <c r="C915" t="s">
        <v>135</v>
      </c>
      <c r="D915">
        <v>2.5</v>
      </c>
      <c r="E915" t="s">
        <v>411</v>
      </c>
      <c r="F915" t="s">
        <v>73</v>
      </c>
      <c r="G915" t="s">
        <v>412</v>
      </c>
      <c r="H915" t="s">
        <v>879</v>
      </c>
    </row>
    <row r="916" spans="1:8">
      <c r="A916" t="s">
        <v>122</v>
      </c>
      <c r="B916">
        <v>2014</v>
      </c>
      <c r="C916" t="s">
        <v>135</v>
      </c>
      <c r="D916">
        <v>3.96</v>
      </c>
      <c r="E916" t="s">
        <v>411</v>
      </c>
      <c r="F916" t="s">
        <v>73</v>
      </c>
      <c r="G916" t="s">
        <v>412</v>
      </c>
      <c r="H916" t="s">
        <v>879</v>
      </c>
    </row>
    <row r="917" spans="1:8">
      <c r="A917" t="s">
        <v>123</v>
      </c>
      <c r="B917">
        <v>2014</v>
      </c>
      <c r="C917" t="s">
        <v>135</v>
      </c>
      <c r="D917">
        <v>12.64</v>
      </c>
      <c r="E917" t="s">
        <v>411</v>
      </c>
      <c r="F917" t="s">
        <v>73</v>
      </c>
      <c r="G917" t="s">
        <v>412</v>
      </c>
      <c r="H917" t="s">
        <v>879</v>
      </c>
    </row>
    <row r="918" spans="1:8">
      <c r="A918" t="s">
        <v>164</v>
      </c>
      <c r="B918">
        <v>2014</v>
      </c>
      <c r="C918" t="s">
        <v>135</v>
      </c>
      <c r="D918">
        <v>0.71</v>
      </c>
      <c r="E918" t="s">
        <v>411</v>
      </c>
      <c r="F918" t="s">
        <v>73</v>
      </c>
      <c r="G918" t="s">
        <v>412</v>
      </c>
      <c r="H918" t="s">
        <v>879</v>
      </c>
    </row>
    <row r="919" spans="1:8">
      <c r="A919" t="s">
        <v>140</v>
      </c>
      <c r="B919">
        <v>2014</v>
      </c>
      <c r="C919" t="s">
        <v>135</v>
      </c>
      <c r="D919">
        <v>0</v>
      </c>
      <c r="E919" t="s">
        <v>411</v>
      </c>
      <c r="F919" t="s">
        <v>73</v>
      </c>
      <c r="G919" t="s">
        <v>412</v>
      </c>
      <c r="H919" t="s">
        <v>879</v>
      </c>
    </row>
    <row r="920" spans="1:8">
      <c r="A920" t="s">
        <v>165</v>
      </c>
      <c r="B920">
        <v>2014</v>
      </c>
      <c r="C920" t="s">
        <v>135</v>
      </c>
      <c r="D920">
        <v>2.79</v>
      </c>
      <c r="E920" t="s">
        <v>411</v>
      </c>
      <c r="F920" t="s">
        <v>73</v>
      </c>
      <c r="G920" t="s">
        <v>412</v>
      </c>
      <c r="H920" t="s">
        <v>879</v>
      </c>
    </row>
    <row r="921" spans="1:8">
      <c r="A921" t="s">
        <v>122</v>
      </c>
      <c r="B921">
        <v>2015</v>
      </c>
      <c r="C921" t="s">
        <v>135</v>
      </c>
      <c r="D921">
        <v>4.87</v>
      </c>
      <c r="E921" t="s">
        <v>411</v>
      </c>
      <c r="F921" t="s">
        <v>73</v>
      </c>
      <c r="G921" t="s">
        <v>412</v>
      </c>
      <c r="H921" t="s">
        <v>879</v>
      </c>
    </row>
    <row r="922" spans="1:8">
      <c r="A922" t="s">
        <v>123</v>
      </c>
      <c r="B922">
        <v>2015</v>
      </c>
      <c r="C922" t="s">
        <v>135</v>
      </c>
      <c r="D922">
        <v>12.37</v>
      </c>
      <c r="E922" t="s">
        <v>411</v>
      </c>
      <c r="F922" t="s">
        <v>73</v>
      </c>
      <c r="G922" t="s">
        <v>412</v>
      </c>
      <c r="H922" t="s">
        <v>879</v>
      </c>
    </row>
    <row r="923" spans="1:8">
      <c r="A923" t="s">
        <v>164</v>
      </c>
      <c r="B923">
        <v>2015</v>
      </c>
      <c r="C923" t="s">
        <v>135</v>
      </c>
      <c r="D923">
        <v>0.81</v>
      </c>
      <c r="E923" t="s">
        <v>411</v>
      </c>
      <c r="F923" t="s">
        <v>73</v>
      </c>
      <c r="G923" t="s">
        <v>412</v>
      </c>
      <c r="H923" t="s">
        <v>879</v>
      </c>
    </row>
    <row r="924" spans="1:8">
      <c r="A924" t="s">
        <v>140</v>
      </c>
      <c r="B924">
        <v>2015</v>
      </c>
      <c r="C924" t="s">
        <v>135</v>
      </c>
      <c r="D924">
        <v>0</v>
      </c>
      <c r="E924" t="s">
        <v>411</v>
      </c>
      <c r="F924" t="s">
        <v>73</v>
      </c>
      <c r="G924" t="s">
        <v>412</v>
      </c>
      <c r="H924" t="s">
        <v>879</v>
      </c>
    </row>
    <row r="925" spans="1:8">
      <c r="A925" t="s">
        <v>165</v>
      </c>
      <c r="B925">
        <v>2015</v>
      </c>
      <c r="C925" t="s">
        <v>135</v>
      </c>
      <c r="D925">
        <v>2.94</v>
      </c>
      <c r="E925" t="s">
        <v>411</v>
      </c>
      <c r="F925" t="s">
        <v>73</v>
      </c>
      <c r="G925" t="s">
        <v>412</v>
      </c>
      <c r="H925" t="s">
        <v>879</v>
      </c>
    </row>
    <row r="926" spans="1:8">
      <c r="A926" t="s">
        <v>122</v>
      </c>
      <c r="B926">
        <v>2016</v>
      </c>
      <c r="C926" t="s">
        <v>135</v>
      </c>
      <c r="D926">
        <v>4.7</v>
      </c>
      <c r="E926" t="s">
        <v>411</v>
      </c>
      <c r="F926" t="s">
        <v>73</v>
      </c>
      <c r="G926" t="s">
        <v>412</v>
      </c>
      <c r="H926" t="s">
        <v>879</v>
      </c>
    </row>
    <row r="927" spans="1:8">
      <c r="A927" t="s">
        <v>123</v>
      </c>
      <c r="B927">
        <v>2016</v>
      </c>
      <c r="C927" t="s">
        <v>135</v>
      </c>
      <c r="D927">
        <v>15.33</v>
      </c>
      <c r="E927" t="s">
        <v>411</v>
      </c>
      <c r="F927" t="s">
        <v>73</v>
      </c>
      <c r="G927" t="s">
        <v>412</v>
      </c>
      <c r="H927" t="s">
        <v>879</v>
      </c>
    </row>
    <row r="928" spans="1:8">
      <c r="A928" t="s">
        <v>164</v>
      </c>
      <c r="B928">
        <v>2016</v>
      </c>
      <c r="C928" t="s">
        <v>135</v>
      </c>
      <c r="D928">
        <v>0.68</v>
      </c>
      <c r="E928" t="s">
        <v>411</v>
      </c>
      <c r="F928" t="s">
        <v>73</v>
      </c>
      <c r="G928" t="s">
        <v>412</v>
      </c>
      <c r="H928" t="s">
        <v>879</v>
      </c>
    </row>
    <row r="929" spans="1:8">
      <c r="A929" t="s">
        <v>140</v>
      </c>
      <c r="B929">
        <v>2016</v>
      </c>
      <c r="C929" t="s">
        <v>135</v>
      </c>
      <c r="D929">
        <v>0</v>
      </c>
      <c r="E929" t="s">
        <v>411</v>
      </c>
      <c r="F929" t="s">
        <v>73</v>
      </c>
      <c r="G929" t="s">
        <v>412</v>
      </c>
      <c r="H929" t="s">
        <v>879</v>
      </c>
    </row>
    <row r="930" spans="1:8">
      <c r="A930" t="s">
        <v>165</v>
      </c>
      <c r="B930">
        <v>2016</v>
      </c>
      <c r="C930" t="s">
        <v>135</v>
      </c>
      <c r="D930">
        <v>2.66</v>
      </c>
      <c r="E930" t="s">
        <v>411</v>
      </c>
      <c r="F930" t="s">
        <v>73</v>
      </c>
      <c r="G930" t="s">
        <v>412</v>
      </c>
      <c r="H930" t="s">
        <v>879</v>
      </c>
    </row>
    <row r="931" spans="1:8">
      <c r="A931" t="s">
        <v>122</v>
      </c>
      <c r="B931">
        <v>2017</v>
      </c>
      <c r="C931" t="s">
        <v>135</v>
      </c>
      <c r="D931">
        <v>3.64</v>
      </c>
      <c r="E931" t="s">
        <v>411</v>
      </c>
      <c r="F931" t="s">
        <v>73</v>
      </c>
      <c r="G931" t="s">
        <v>412</v>
      </c>
      <c r="H931" t="s">
        <v>879</v>
      </c>
    </row>
    <row r="932" spans="1:8">
      <c r="A932" t="s">
        <v>123</v>
      </c>
      <c r="B932">
        <v>2017</v>
      </c>
      <c r="C932" t="s">
        <v>135</v>
      </c>
      <c r="D932">
        <v>15.68</v>
      </c>
      <c r="E932" t="s">
        <v>411</v>
      </c>
      <c r="F932" t="s">
        <v>73</v>
      </c>
      <c r="G932" t="s">
        <v>412</v>
      </c>
      <c r="H932" t="s">
        <v>879</v>
      </c>
    </row>
    <row r="933" spans="1:8">
      <c r="A933" t="s">
        <v>164</v>
      </c>
      <c r="B933">
        <v>2017</v>
      </c>
      <c r="C933" t="s">
        <v>135</v>
      </c>
      <c r="D933">
        <v>0.69</v>
      </c>
      <c r="E933" t="s">
        <v>411</v>
      </c>
      <c r="F933" t="s">
        <v>73</v>
      </c>
      <c r="G933" t="s">
        <v>412</v>
      </c>
      <c r="H933" t="s">
        <v>879</v>
      </c>
    </row>
    <row r="934" spans="1:8">
      <c r="A934" t="s">
        <v>140</v>
      </c>
      <c r="B934">
        <v>2017</v>
      </c>
      <c r="C934" t="s">
        <v>135</v>
      </c>
      <c r="D934">
        <v>0</v>
      </c>
      <c r="E934" t="s">
        <v>411</v>
      </c>
      <c r="F934" t="s">
        <v>73</v>
      </c>
      <c r="G934" t="s">
        <v>412</v>
      </c>
      <c r="H934" t="s">
        <v>879</v>
      </c>
    </row>
    <row r="935" spans="1:8">
      <c r="A935" t="s">
        <v>165</v>
      </c>
      <c r="B935">
        <v>2017</v>
      </c>
      <c r="C935" t="s">
        <v>135</v>
      </c>
      <c r="D935">
        <v>2.46</v>
      </c>
      <c r="E935" t="s">
        <v>411</v>
      </c>
      <c r="F935" t="s">
        <v>73</v>
      </c>
      <c r="G935" t="s">
        <v>412</v>
      </c>
      <c r="H935" t="s">
        <v>879</v>
      </c>
    </row>
    <row r="936" spans="1:8">
      <c r="A936" t="s">
        <v>122</v>
      </c>
      <c r="B936">
        <v>2018</v>
      </c>
      <c r="C936" t="s">
        <v>135</v>
      </c>
      <c r="D936">
        <v>2.15</v>
      </c>
      <c r="E936" t="s">
        <v>411</v>
      </c>
      <c r="F936" t="s">
        <v>73</v>
      </c>
      <c r="G936" t="s">
        <v>412</v>
      </c>
      <c r="H936" t="s">
        <v>879</v>
      </c>
    </row>
    <row r="937" spans="1:8">
      <c r="A937" t="s">
        <v>123</v>
      </c>
      <c r="B937">
        <v>2018</v>
      </c>
      <c r="C937" t="s">
        <v>135</v>
      </c>
      <c r="D937">
        <v>16.02</v>
      </c>
      <c r="E937" t="s">
        <v>411</v>
      </c>
      <c r="F937" t="s">
        <v>73</v>
      </c>
      <c r="G937" t="s">
        <v>412</v>
      </c>
      <c r="H937" t="s">
        <v>879</v>
      </c>
    </row>
    <row r="938" spans="1:8">
      <c r="A938" t="s">
        <v>164</v>
      </c>
      <c r="B938">
        <v>2018</v>
      </c>
      <c r="C938" t="s">
        <v>135</v>
      </c>
      <c r="D938">
        <v>0.69</v>
      </c>
      <c r="E938" t="s">
        <v>411</v>
      </c>
      <c r="F938" t="s">
        <v>73</v>
      </c>
      <c r="G938" t="s">
        <v>412</v>
      </c>
      <c r="H938" t="s">
        <v>879</v>
      </c>
    </row>
    <row r="939" spans="1:8">
      <c r="A939" t="s">
        <v>140</v>
      </c>
      <c r="B939">
        <v>2018</v>
      </c>
      <c r="C939" t="s">
        <v>135</v>
      </c>
      <c r="D939">
        <v>0</v>
      </c>
      <c r="E939" t="s">
        <v>411</v>
      </c>
      <c r="F939" t="s">
        <v>73</v>
      </c>
      <c r="G939" t="s">
        <v>412</v>
      </c>
      <c r="H939" t="s">
        <v>879</v>
      </c>
    </row>
    <row r="940" spans="1:8">
      <c r="A940" t="s">
        <v>165</v>
      </c>
      <c r="B940">
        <v>2018</v>
      </c>
      <c r="C940" t="s">
        <v>135</v>
      </c>
      <c r="D940">
        <v>2.5299999999999998</v>
      </c>
      <c r="E940" t="s">
        <v>411</v>
      </c>
      <c r="F940" t="s">
        <v>73</v>
      </c>
      <c r="G940" t="s">
        <v>412</v>
      </c>
      <c r="H940" t="s">
        <v>879</v>
      </c>
    </row>
    <row r="941" spans="1:8">
      <c r="A941" t="s">
        <v>122</v>
      </c>
      <c r="B941">
        <v>2019</v>
      </c>
      <c r="C941" t="s">
        <v>135</v>
      </c>
      <c r="D941">
        <v>0.51</v>
      </c>
      <c r="E941" t="s">
        <v>411</v>
      </c>
      <c r="F941" t="s">
        <v>73</v>
      </c>
      <c r="G941" t="s">
        <v>412</v>
      </c>
      <c r="H941" t="s">
        <v>879</v>
      </c>
    </row>
    <row r="942" spans="1:8">
      <c r="A942" t="s">
        <v>123</v>
      </c>
      <c r="B942">
        <v>2019</v>
      </c>
      <c r="C942" t="s">
        <v>135</v>
      </c>
      <c r="D942">
        <v>15.91</v>
      </c>
      <c r="E942" t="s">
        <v>411</v>
      </c>
      <c r="F942" t="s">
        <v>73</v>
      </c>
      <c r="G942" t="s">
        <v>412</v>
      </c>
      <c r="H942" t="s">
        <v>879</v>
      </c>
    </row>
    <row r="943" spans="1:8">
      <c r="A943" t="s">
        <v>164</v>
      </c>
      <c r="B943">
        <v>2019</v>
      </c>
      <c r="C943" t="s">
        <v>135</v>
      </c>
      <c r="D943">
        <v>0.89</v>
      </c>
      <c r="E943" t="s">
        <v>411</v>
      </c>
      <c r="F943" t="s">
        <v>73</v>
      </c>
      <c r="G943" t="s">
        <v>412</v>
      </c>
      <c r="H943" t="s">
        <v>879</v>
      </c>
    </row>
    <row r="944" spans="1:8">
      <c r="A944" t="s">
        <v>140</v>
      </c>
      <c r="B944">
        <v>2019</v>
      </c>
      <c r="C944" t="s">
        <v>135</v>
      </c>
      <c r="D944">
        <v>0</v>
      </c>
      <c r="E944" t="s">
        <v>411</v>
      </c>
      <c r="F944" t="s">
        <v>73</v>
      </c>
      <c r="G944" t="s">
        <v>412</v>
      </c>
      <c r="H944" t="s">
        <v>879</v>
      </c>
    </row>
    <row r="945" spans="1:8">
      <c r="A945" t="s">
        <v>165</v>
      </c>
      <c r="B945">
        <v>2019</v>
      </c>
      <c r="C945" t="s">
        <v>135</v>
      </c>
      <c r="D945">
        <v>2.5</v>
      </c>
      <c r="E945" t="s">
        <v>411</v>
      </c>
      <c r="F945" t="s">
        <v>73</v>
      </c>
      <c r="G945" t="s">
        <v>412</v>
      </c>
      <c r="H945" t="s">
        <v>879</v>
      </c>
    </row>
    <row r="946" spans="1:8">
      <c r="A946" t="s">
        <v>122</v>
      </c>
      <c r="B946">
        <v>2020</v>
      </c>
      <c r="C946" t="s">
        <v>135</v>
      </c>
      <c r="D946">
        <v>0.67</v>
      </c>
      <c r="E946" t="s">
        <v>411</v>
      </c>
      <c r="F946" t="s">
        <v>73</v>
      </c>
      <c r="G946" t="s">
        <v>412</v>
      </c>
      <c r="H946" t="s">
        <v>879</v>
      </c>
    </row>
    <row r="947" spans="1:8">
      <c r="A947" t="s">
        <v>123</v>
      </c>
      <c r="B947">
        <v>2020</v>
      </c>
      <c r="C947" t="s">
        <v>135</v>
      </c>
      <c r="D947">
        <v>16.239999999999998</v>
      </c>
      <c r="E947" t="s">
        <v>411</v>
      </c>
      <c r="F947" t="s">
        <v>73</v>
      </c>
      <c r="G947" t="s">
        <v>412</v>
      </c>
      <c r="H947" t="s">
        <v>879</v>
      </c>
    </row>
    <row r="948" spans="1:8">
      <c r="A948" t="s">
        <v>164</v>
      </c>
      <c r="B948">
        <v>2020</v>
      </c>
      <c r="C948" t="s">
        <v>135</v>
      </c>
      <c r="D948">
        <v>0.93</v>
      </c>
      <c r="E948" t="s">
        <v>411</v>
      </c>
      <c r="F948" t="s">
        <v>73</v>
      </c>
      <c r="G948" t="s">
        <v>412</v>
      </c>
      <c r="H948" t="s">
        <v>879</v>
      </c>
    </row>
    <row r="949" spans="1:8">
      <c r="A949" t="s">
        <v>140</v>
      </c>
      <c r="B949">
        <v>2020</v>
      </c>
      <c r="C949" t="s">
        <v>135</v>
      </c>
      <c r="D949">
        <v>0</v>
      </c>
      <c r="E949" t="s">
        <v>411</v>
      </c>
      <c r="F949" t="s">
        <v>73</v>
      </c>
      <c r="G949" t="s">
        <v>412</v>
      </c>
      <c r="H949" t="s">
        <v>879</v>
      </c>
    </row>
    <row r="950" spans="1:8">
      <c r="A950" t="s">
        <v>165</v>
      </c>
      <c r="B950">
        <v>2020</v>
      </c>
      <c r="C950" t="s">
        <v>135</v>
      </c>
      <c r="D950">
        <v>1.6</v>
      </c>
      <c r="E950" t="s">
        <v>411</v>
      </c>
      <c r="F950" t="s">
        <v>73</v>
      </c>
      <c r="G950" t="s">
        <v>412</v>
      </c>
      <c r="H950" t="s">
        <v>879</v>
      </c>
    </row>
    <row r="951" spans="1:8">
      <c r="A951" t="s">
        <v>122</v>
      </c>
      <c r="B951">
        <v>2021</v>
      </c>
      <c r="C951" t="s">
        <v>135</v>
      </c>
      <c r="D951">
        <v>2.72</v>
      </c>
      <c r="E951" t="s">
        <v>411</v>
      </c>
      <c r="F951" t="s">
        <v>73</v>
      </c>
      <c r="G951" t="s">
        <v>412</v>
      </c>
      <c r="H951" t="s">
        <v>879</v>
      </c>
    </row>
    <row r="952" spans="1:8">
      <c r="A952" t="s">
        <v>123</v>
      </c>
      <c r="B952">
        <v>2021</v>
      </c>
      <c r="C952" t="s">
        <v>135</v>
      </c>
      <c r="D952">
        <v>15.16</v>
      </c>
      <c r="E952" t="s">
        <v>411</v>
      </c>
      <c r="F952" t="s">
        <v>73</v>
      </c>
      <c r="G952" t="s">
        <v>412</v>
      </c>
      <c r="H952" t="s">
        <v>879</v>
      </c>
    </row>
    <row r="953" spans="1:8">
      <c r="A953" t="s">
        <v>164</v>
      </c>
      <c r="B953">
        <v>2021</v>
      </c>
      <c r="C953" t="s">
        <v>135</v>
      </c>
      <c r="D953">
        <v>0.75</v>
      </c>
      <c r="E953" t="s">
        <v>411</v>
      </c>
      <c r="F953" t="s">
        <v>73</v>
      </c>
      <c r="G953" t="s">
        <v>412</v>
      </c>
      <c r="H953" t="s">
        <v>879</v>
      </c>
    </row>
    <row r="954" spans="1:8">
      <c r="A954" t="s">
        <v>140</v>
      </c>
      <c r="B954">
        <v>2021</v>
      </c>
      <c r="C954" t="s">
        <v>135</v>
      </c>
      <c r="D954">
        <v>0</v>
      </c>
      <c r="E954" t="s">
        <v>411</v>
      </c>
      <c r="F954" t="s">
        <v>73</v>
      </c>
      <c r="G954" t="s">
        <v>412</v>
      </c>
      <c r="H954" t="s">
        <v>879</v>
      </c>
    </row>
    <row r="955" spans="1:8">
      <c r="A955" t="s">
        <v>165</v>
      </c>
      <c r="B955">
        <v>2021</v>
      </c>
      <c r="C955" t="s">
        <v>135</v>
      </c>
      <c r="D955">
        <v>2.1</v>
      </c>
      <c r="E955" t="s">
        <v>411</v>
      </c>
      <c r="F955" t="s">
        <v>73</v>
      </c>
      <c r="G955" t="s">
        <v>412</v>
      </c>
      <c r="H955" t="s">
        <v>879</v>
      </c>
    </row>
    <row r="956" spans="1:8">
      <c r="A956" t="s">
        <v>122</v>
      </c>
      <c r="B956">
        <v>2022</v>
      </c>
      <c r="C956" t="s">
        <v>135</v>
      </c>
      <c r="D956">
        <v>2.37</v>
      </c>
      <c r="E956" t="s">
        <v>411</v>
      </c>
      <c r="F956" t="s">
        <v>73</v>
      </c>
      <c r="G956" t="s">
        <v>412</v>
      </c>
      <c r="H956" t="s">
        <v>879</v>
      </c>
    </row>
    <row r="957" spans="1:8">
      <c r="A957" t="s">
        <v>123</v>
      </c>
      <c r="B957">
        <v>2022</v>
      </c>
      <c r="C957" t="s">
        <v>135</v>
      </c>
      <c r="D957">
        <v>16.53</v>
      </c>
      <c r="E957" t="s">
        <v>411</v>
      </c>
      <c r="F957" t="s">
        <v>73</v>
      </c>
      <c r="G957" t="s">
        <v>412</v>
      </c>
      <c r="H957" t="s">
        <v>879</v>
      </c>
    </row>
    <row r="958" spans="1:8">
      <c r="A958" t="s">
        <v>164</v>
      </c>
      <c r="B958">
        <v>2022</v>
      </c>
      <c r="C958" t="s">
        <v>135</v>
      </c>
      <c r="D958">
        <v>0.7</v>
      </c>
      <c r="E958" t="s">
        <v>411</v>
      </c>
      <c r="F958" t="s">
        <v>73</v>
      </c>
      <c r="G958" t="s">
        <v>412</v>
      </c>
      <c r="H958" t="s">
        <v>879</v>
      </c>
    </row>
    <row r="959" spans="1:8">
      <c r="A959" t="s">
        <v>140</v>
      </c>
      <c r="B959">
        <v>2022</v>
      </c>
      <c r="C959" t="s">
        <v>135</v>
      </c>
      <c r="D959">
        <v>0</v>
      </c>
      <c r="E959" t="s">
        <v>411</v>
      </c>
      <c r="F959" t="s">
        <v>73</v>
      </c>
      <c r="G959" t="s">
        <v>412</v>
      </c>
      <c r="H959" t="s">
        <v>879</v>
      </c>
    </row>
    <row r="960" spans="1:8">
      <c r="A960" t="s">
        <v>165</v>
      </c>
      <c r="B960">
        <v>2022</v>
      </c>
      <c r="C960" t="s">
        <v>135</v>
      </c>
      <c r="D960">
        <v>1.64</v>
      </c>
      <c r="E960" t="s">
        <v>411</v>
      </c>
      <c r="F960" t="s">
        <v>73</v>
      </c>
      <c r="G960" t="s">
        <v>412</v>
      </c>
      <c r="H960" t="s">
        <v>879</v>
      </c>
    </row>
    <row r="961" spans="1:8">
      <c r="A961" t="s">
        <v>122</v>
      </c>
      <c r="B961">
        <v>2023</v>
      </c>
      <c r="C961" t="s">
        <v>135</v>
      </c>
      <c r="D961">
        <v>1.21</v>
      </c>
      <c r="E961" t="s">
        <v>411</v>
      </c>
      <c r="F961" t="s">
        <v>73</v>
      </c>
      <c r="G961" t="s">
        <v>412</v>
      </c>
      <c r="H961" t="s">
        <v>879</v>
      </c>
    </row>
    <row r="962" spans="1:8">
      <c r="A962" t="s">
        <v>123</v>
      </c>
      <c r="B962">
        <v>2023</v>
      </c>
      <c r="C962" t="s">
        <v>135</v>
      </c>
      <c r="D962">
        <v>15.35</v>
      </c>
      <c r="E962" t="s">
        <v>411</v>
      </c>
      <c r="F962" t="s">
        <v>73</v>
      </c>
      <c r="G962" t="s">
        <v>412</v>
      </c>
      <c r="H962" t="s">
        <v>879</v>
      </c>
    </row>
    <row r="963" spans="1:8">
      <c r="A963" t="s">
        <v>164</v>
      </c>
      <c r="B963">
        <v>2023</v>
      </c>
      <c r="C963" t="s">
        <v>135</v>
      </c>
      <c r="D963">
        <v>0.94</v>
      </c>
      <c r="E963" t="s">
        <v>411</v>
      </c>
      <c r="F963" t="s">
        <v>73</v>
      </c>
      <c r="G963" t="s">
        <v>412</v>
      </c>
      <c r="H963" t="s">
        <v>879</v>
      </c>
    </row>
    <row r="964" spans="1:8">
      <c r="A964" t="s">
        <v>140</v>
      </c>
      <c r="B964">
        <v>2023</v>
      </c>
      <c r="C964" t="s">
        <v>135</v>
      </c>
      <c r="D964">
        <v>0</v>
      </c>
      <c r="E964" t="s">
        <v>411</v>
      </c>
      <c r="F964" t="s">
        <v>73</v>
      </c>
      <c r="G964" t="s">
        <v>412</v>
      </c>
      <c r="H964" t="s">
        <v>879</v>
      </c>
    </row>
    <row r="965" spans="1:8">
      <c r="A965" t="s">
        <v>165</v>
      </c>
      <c r="B965">
        <v>2023</v>
      </c>
      <c r="C965" t="s">
        <v>135</v>
      </c>
      <c r="D965">
        <v>0.7</v>
      </c>
      <c r="E965" t="s">
        <v>411</v>
      </c>
      <c r="F965" t="s">
        <v>73</v>
      </c>
      <c r="G965" t="s">
        <v>412</v>
      </c>
      <c r="H965" t="s">
        <v>879</v>
      </c>
    </row>
    <row r="966" spans="1:8">
      <c r="A966" t="s">
        <v>122</v>
      </c>
      <c r="B966">
        <v>2024</v>
      </c>
      <c r="C966" t="s">
        <v>135</v>
      </c>
      <c r="D966">
        <v>0.63</v>
      </c>
      <c r="E966" t="s">
        <v>411</v>
      </c>
      <c r="F966" t="s">
        <v>73</v>
      </c>
      <c r="G966" t="s">
        <v>412</v>
      </c>
      <c r="H966" t="s">
        <v>879</v>
      </c>
    </row>
    <row r="967" spans="1:8">
      <c r="A967" t="s">
        <v>123</v>
      </c>
      <c r="B967">
        <v>2024</v>
      </c>
      <c r="C967" t="s">
        <v>135</v>
      </c>
      <c r="D967">
        <v>15.1</v>
      </c>
      <c r="E967" t="s">
        <v>411</v>
      </c>
      <c r="F967" t="s">
        <v>73</v>
      </c>
      <c r="G967" t="s">
        <v>412</v>
      </c>
      <c r="H967" t="s">
        <v>879</v>
      </c>
    </row>
    <row r="968" spans="1:8">
      <c r="A968" t="s">
        <v>164</v>
      </c>
      <c r="B968">
        <v>2024</v>
      </c>
      <c r="C968" t="s">
        <v>135</v>
      </c>
      <c r="D968">
        <v>0.77</v>
      </c>
      <c r="E968" t="s">
        <v>411</v>
      </c>
      <c r="F968" t="s">
        <v>73</v>
      </c>
      <c r="G968" t="s">
        <v>412</v>
      </c>
      <c r="H968" t="s">
        <v>879</v>
      </c>
    </row>
    <row r="969" spans="1:8">
      <c r="A969" t="s">
        <v>140</v>
      </c>
      <c r="B969">
        <v>2024</v>
      </c>
      <c r="C969" t="s">
        <v>135</v>
      </c>
      <c r="D969">
        <v>0</v>
      </c>
      <c r="E969" t="s">
        <v>411</v>
      </c>
      <c r="F969" t="s">
        <v>73</v>
      </c>
      <c r="G969" t="s">
        <v>412</v>
      </c>
      <c r="H969" t="s">
        <v>879</v>
      </c>
    </row>
    <row r="970" spans="1:8">
      <c r="A970" t="s">
        <v>165</v>
      </c>
      <c r="B970">
        <v>2024</v>
      </c>
      <c r="C970" t="s">
        <v>135</v>
      </c>
      <c r="D970">
        <v>0.89</v>
      </c>
      <c r="E970" t="s">
        <v>411</v>
      </c>
      <c r="F970" t="s">
        <v>73</v>
      </c>
      <c r="G970" t="s">
        <v>412</v>
      </c>
      <c r="H970" t="s">
        <v>879</v>
      </c>
    </row>
    <row r="971" spans="1:8">
      <c r="A971" t="s">
        <v>122</v>
      </c>
      <c r="B971">
        <v>2025</v>
      </c>
      <c r="C971" t="s">
        <v>135</v>
      </c>
      <c r="D971">
        <v>0.12</v>
      </c>
      <c r="E971" t="s">
        <v>411</v>
      </c>
      <c r="F971" t="s">
        <v>73</v>
      </c>
      <c r="G971" t="s">
        <v>412</v>
      </c>
      <c r="H971" t="s">
        <v>879</v>
      </c>
    </row>
    <row r="972" spans="1:8">
      <c r="A972" t="s">
        <v>123</v>
      </c>
      <c r="B972">
        <v>2025</v>
      </c>
      <c r="C972" t="s">
        <v>135</v>
      </c>
      <c r="D972">
        <v>14.99</v>
      </c>
      <c r="E972" t="s">
        <v>411</v>
      </c>
      <c r="F972" t="s">
        <v>73</v>
      </c>
      <c r="G972" t="s">
        <v>412</v>
      </c>
      <c r="H972" t="s">
        <v>879</v>
      </c>
    </row>
    <row r="973" spans="1:8">
      <c r="A973" t="s">
        <v>164</v>
      </c>
      <c r="B973">
        <v>2025</v>
      </c>
      <c r="C973" t="s">
        <v>135</v>
      </c>
      <c r="D973">
        <v>0.65</v>
      </c>
      <c r="E973" t="s">
        <v>411</v>
      </c>
      <c r="F973" t="s">
        <v>73</v>
      </c>
      <c r="G973" t="s">
        <v>412</v>
      </c>
      <c r="H973" t="s">
        <v>879</v>
      </c>
    </row>
    <row r="974" spans="1:8">
      <c r="A974" t="s">
        <v>140</v>
      </c>
      <c r="B974">
        <v>2025</v>
      </c>
      <c r="C974" t="s">
        <v>135</v>
      </c>
      <c r="D974">
        <v>0</v>
      </c>
      <c r="E974" t="s">
        <v>411</v>
      </c>
      <c r="F974" t="s">
        <v>73</v>
      </c>
      <c r="G974" t="s">
        <v>412</v>
      </c>
      <c r="H974" t="s">
        <v>879</v>
      </c>
    </row>
    <row r="975" spans="1:8">
      <c r="A975" t="s">
        <v>165</v>
      </c>
      <c r="B975">
        <v>2025</v>
      </c>
      <c r="C975" t="s">
        <v>135</v>
      </c>
      <c r="D975">
        <v>0.92</v>
      </c>
      <c r="E975" t="s">
        <v>411</v>
      </c>
      <c r="F975" t="s">
        <v>73</v>
      </c>
      <c r="G975" t="s">
        <v>412</v>
      </c>
      <c r="H975" t="s">
        <v>879</v>
      </c>
    </row>
    <row r="976" spans="1:8">
      <c r="A976" t="s">
        <v>122</v>
      </c>
      <c r="B976">
        <v>2000</v>
      </c>
      <c r="C976" t="s">
        <v>7</v>
      </c>
      <c r="D976">
        <v>0.92</v>
      </c>
      <c r="E976" t="s">
        <v>411</v>
      </c>
      <c r="F976" t="s">
        <v>63</v>
      </c>
      <c r="G976" t="s">
        <v>412</v>
      </c>
      <c r="H976" t="s">
        <v>879</v>
      </c>
    </row>
    <row r="977" spans="1:8">
      <c r="A977" t="s">
        <v>123</v>
      </c>
      <c r="B977">
        <v>2000</v>
      </c>
      <c r="C977" t="s">
        <v>7</v>
      </c>
      <c r="D977">
        <v>1.1000000000000001</v>
      </c>
      <c r="E977" t="s">
        <v>411</v>
      </c>
      <c r="F977" t="s">
        <v>63</v>
      </c>
      <c r="G977" t="s">
        <v>412</v>
      </c>
      <c r="H977" t="s">
        <v>879</v>
      </c>
    </row>
    <row r="978" spans="1:8">
      <c r="A978" t="s">
        <v>164</v>
      </c>
      <c r="B978">
        <v>2000</v>
      </c>
      <c r="C978" t="s">
        <v>7</v>
      </c>
      <c r="D978">
        <v>0.24</v>
      </c>
      <c r="E978" t="s">
        <v>411</v>
      </c>
      <c r="F978" t="s">
        <v>63</v>
      </c>
      <c r="G978" t="s">
        <v>412</v>
      </c>
      <c r="H978" t="s">
        <v>879</v>
      </c>
    </row>
    <row r="979" spans="1:8">
      <c r="A979" t="s">
        <v>140</v>
      </c>
      <c r="B979">
        <v>2000</v>
      </c>
      <c r="C979" t="s">
        <v>7</v>
      </c>
      <c r="D979">
        <v>0</v>
      </c>
      <c r="E979" t="s">
        <v>411</v>
      </c>
      <c r="F979" t="s">
        <v>63</v>
      </c>
      <c r="G979" t="s">
        <v>412</v>
      </c>
      <c r="H979" t="s">
        <v>879</v>
      </c>
    </row>
    <row r="980" spans="1:8">
      <c r="A980" t="s">
        <v>165</v>
      </c>
      <c r="B980">
        <v>2000</v>
      </c>
      <c r="C980" t="s">
        <v>7</v>
      </c>
      <c r="D980">
        <v>0.82</v>
      </c>
      <c r="E980" t="s">
        <v>411</v>
      </c>
      <c r="F980" t="s">
        <v>63</v>
      </c>
      <c r="G980" t="s">
        <v>412</v>
      </c>
      <c r="H980" t="s">
        <v>879</v>
      </c>
    </row>
    <row r="981" spans="1:8">
      <c r="A981" t="s">
        <v>122</v>
      </c>
      <c r="B981">
        <v>2001</v>
      </c>
      <c r="C981" t="s">
        <v>7</v>
      </c>
      <c r="D981">
        <v>0.92</v>
      </c>
      <c r="E981" t="s">
        <v>411</v>
      </c>
      <c r="F981" t="s">
        <v>63</v>
      </c>
      <c r="G981" t="s">
        <v>412</v>
      </c>
      <c r="H981" t="s">
        <v>879</v>
      </c>
    </row>
    <row r="982" spans="1:8">
      <c r="A982" t="s">
        <v>123</v>
      </c>
      <c r="B982">
        <v>2001</v>
      </c>
      <c r="C982" t="s">
        <v>7</v>
      </c>
      <c r="D982">
        <v>1.1000000000000001</v>
      </c>
      <c r="E982" t="s">
        <v>411</v>
      </c>
      <c r="F982" t="s">
        <v>63</v>
      </c>
      <c r="G982" t="s">
        <v>412</v>
      </c>
      <c r="H982" t="s">
        <v>879</v>
      </c>
    </row>
    <row r="983" spans="1:8">
      <c r="A983" t="s">
        <v>164</v>
      </c>
      <c r="B983">
        <v>2001</v>
      </c>
      <c r="C983" t="s">
        <v>7</v>
      </c>
      <c r="D983">
        <v>0.24</v>
      </c>
      <c r="E983" t="s">
        <v>411</v>
      </c>
      <c r="F983" t="s">
        <v>63</v>
      </c>
      <c r="G983" t="s">
        <v>412</v>
      </c>
      <c r="H983" t="s">
        <v>879</v>
      </c>
    </row>
    <row r="984" spans="1:8">
      <c r="A984" t="s">
        <v>140</v>
      </c>
      <c r="B984">
        <v>2001</v>
      </c>
      <c r="C984" t="s">
        <v>7</v>
      </c>
      <c r="D984">
        <v>0</v>
      </c>
      <c r="E984" t="s">
        <v>411</v>
      </c>
      <c r="F984" t="s">
        <v>63</v>
      </c>
      <c r="G984" t="s">
        <v>412</v>
      </c>
      <c r="H984" t="s">
        <v>879</v>
      </c>
    </row>
    <row r="985" spans="1:8">
      <c r="A985" t="s">
        <v>165</v>
      </c>
      <c r="B985">
        <v>2001</v>
      </c>
      <c r="C985" t="s">
        <v>7</v>
      </c>
      <c r="D985">
        <v>0.82</v>
      </c>
      <c r="E985" t="s">
        <v>411</v>
      </c>
      <c r="F985" t="s">
        <v>63</v>
      </c>
      <c r="G985" t="s">
        <v>412</v>
      </c>
      <c r="H985" t="s">
        <v>879</v>
      </c>
    </row>
    <row r="986" spans="1:8">
      <c r="A986" t="s">
        <v>122</v>
      </c>
      <c r="B986">
        <v>2002</v>
      </c>
      <c r="C986" t="s">
        <v>7</v>
      </c>
      <c r="D986">
        <v>0.92</v>
      </c>
      <c r="E986" t="s">
        <v>411</v>
      </c>
      <c r="F986" t="s">
        <v>63</v>
      </c>
      <c r="G986" t="s">
        <v>412</v>
      </c>
      <c r="H986" t="s">
        <v>879</v>
      </c>
    </row>
    <row r="987" spans="1:8">
      <c r="A987" t="s">
        <v>123</v>
      </c>
      <c r="B987">
        <v>2002</v>
      </c>
      <c r="C987" t="s">
        <v>7</v>
      </c>
      <c r="D987">
        <v>1.84</v>
      </c>
      <c r="E987" t="s">
        <v>411</v>
      </c>
      <c r="F987" t="s">
        <v>63</v>
      </c>
      <c r="G987" t="s">
        <v>412</v>
      </c>
      <c r="H987" t="s">
        <v>879</v>
      </c>
    </row>
    <row r="988" spans="1:8">
      <c r="A988" t="s">
        <v>164</v>
      </c>
      <c r="B988">
        <v>2002</v>
      </c>
      <c r="C988" t="s">
        <v>7</v>
      </c>
      <c r="D988">
        <v>0.24</v>
      </c>
      <c r="E988" t="s">
        <v>411</v>
      </c>
      <c r="F988" t="s">
        <v>63</v>
      </c>
      <c r="G988" t="s">
        <v>412</v>
      </c>
      <c r="H988" t="s">
        <v>879</v>
      </c>
    </row>
    <row r="989" spans="1:8">
      <c r="A989" t="s">
        <v>140</v>
      </c>
      <c r="B989">
        <v>2002</v>
      </c>
      <c r="C989" t="s">
        <v>7</v>
      </c>
      <c r="D989">
        <v>0</v>
      </c>
      <c r="E989" t="s">
        <v>411</v>
      </c>
      <c r="F989" t="s">
        <v>63</v>
      </c>
      <c r="G989" t="s">
        <v>412</v>
      </c>
      <c r="H989" t="s">
        <v>879</v>
      </c>
    </row>
    <row r="990" spans="1:8">
      <c r="A990" t="s">
        <v>165</v>
      </c>
      <c r="B990">
        <v>2002</v>
      </c>
      <c r="C990" t="s">
        <v>7</v>
      </c>
      <c r="D990">
        <v>0.82</v>
      </c>
      <c r="E990" t="s">
        <v>411</v>
      </c>
      <c r="F990" t="s">
        <v>63</v>
      </c>
      <c r="G990" t="s">
        <v>412</v>
      </c>
      <c r="H990" t="s">
        <v>879</v>
      </c>
    </row>
    <row r="991" spans="1:8">
      <c r="A991" t="s">
        <v>122</v>
      </c>
      <c r="B991">
        <v>2003</v>
      </c>
      <c r="C991" t="s">
        <v>7</v>
      </c>
      <c r="D991">
        <v>0.92</v>
      </c>
      <c r="E991" t="s">
        <v>411</v>
      </c>
      <c r="F991" t="s">
        <v>63</v>
      </c>
      <c r="G991" t="s">
        <v>412</v>
      </c>
      <c r="H991" t="s">
        <v>879</v>
      </c>
    </row>
    <row r="992" spans="1:8">
      <c r="A992" t="s">
        <v>123</v>
      </c>
      <c r="B992">
        <v>2003</v>
      </c>
      <c r="C992" t="s">
        <v>7</v>
      </c>
      <c r="D992">
        <v>1.84</v>
      </c>
      <c r="E992" t="s">
        <v>411</v>
      </c>
      <c r="F992" t="s">
        <v>63</v>
      </c>
      <c r="G992" t="s">
        <v>412</v>
      </c>
      <c r="H992" t="s">
        <v>879</v>
      </c>
    </row>
    <row r="993" spans="1:8">
      <c r="A993" t="s">
        <v>164</v>
      </c>
      <c r="B993">
        <v>2003</v>
      </c>
      <c r="C993" t="s">
        <v>7</v>
      </c>
      <c r="D993">
        <v>0.24</v>
      </c>
      <c r="E993" t="s">
        <v>411</v>
      </c>
      <c r="F993" t="s">
        <v>63</v>
      </c>
      <c r="G993" t="s">
        <v>412</v>
      </c>
      <c r="H993" t="s">
        <v>879</v>
      </c>
    </row>
    <row r="994" spans="1:8">
      <c r="A994" t="s">
        <v>140</v>
      </c>
      <c r="B994">
        <v>2003</v>
      </c>
      <c r="C994" t="s">
        <v>7</v>
      </c>
      <c r="D994">
        <v>0</v>
      </c>
      <c r="E994" t="s">
        <v>411</v>
      </c>
      <c r="F994" t="s">
        <v>63</v>
      </c>
      <c r="G994" t="s">
        <v>412</v>
      </c>
      <c r="H994" t="s">
        <v>879</v>
      </c>
    </row>
    <row r="995" spans="1:8">
      <c r="A995" t="s">
        <v>165</v>
      </c>
      <c r="B995">
        <v>2003</v>
      </c>
      <c r="C995" t="s">
        <v>7</v>
      </c>
      <c r="D995">
        <v>0.92</v>
      </c>
      <c r="E995" t="s">
        <v>411</v>
      </c>
      <c r="F995" t="s">
        <v>63</v>
      </c>
      <c r="G995" t="s">
        <v>412</v>
      </c>
      <c r="H995" t="s">
        <v>879</v>
      </c>
    </row>
    <row r="996" spans="1:8">
      <c r="A996" t="s">
        <v>122</v>
      </c>
      <c r="B996">
        <v>2004</v>
      </c>
      <c r="C996" t="s">
        <v>7</v>
      </c>
      <c r="D996">
        <v>0.92</v>
      </c>
      <c r="E996" t="s">
        <v>411</v>
      </c>
      <c r="F996" t="s">
        <v>63</v>
      </c>
      <c r="G996" t="s">
        <v>412</v>
      </c>
      <c r="H996" t="s">
        <v>879</v>
      </c>
    </row>
    <row r="997" spans="1:8">
      <c r="A997" t="s">
        <v>123</v>
      </c>
      <c r="B997">
        <v>2004</v>
      </c>
      <c r="C997" t="s">
        <v>7</v>
      </c>
      <c r="D997">
        <v>1.95</v>
      </c>
      <c r="E997" t="s">
        <v>411</v>
      </c>
      <c r="F997" t="s">
        <v>63</v>
      </c>
      <c r="G997" t="s">
        <v>412</v>
      </c>
      <c r="H997" t="s">
        <v>879</v>
      </c>
    </row>
    <row r="998" spans="1:8">
      <c r="A998" t="s">
        <v>164</v>
      </c>
      <c r="B998">
        <v>2004</v>
      </c>
      <c r="C998" t="s">
        <v>7</v>
      </c>
      <c r="D998">
        <v>0.24</v>
      </c>
      <c r="E998" t="s">
        <v>411</v>
      </c>
      <c r="F998" t="s">
        <v>63</v>
      </c>
      <c r="G998" t="s">
        <v>412</v>
      </c>
      <c r="H998" t="s">
        <v>879</v>
      </c>
    </row>
    <row r="999" spans="1:8">
      <c r="A999" t="s">
        <v>140</v>
      </c>
      <c r="B999">
        <v>2004</v>
      </c>
      <c r="C999" t="s">
        <v>7</v>
      </c>
      <c r="D999">
        <v>0</v>
      </c>
      <c r="E999" t="s">
        <v>411</v>
      </c>
      <c r="F999" t="s">
        <v>63</v>
      </c>
      <c r="G999" t="s">
        <v>412</v>
      </c>
      <c r="H999" t="s">
        <v>879</v>
      </c>
    </row>
    <row r="1000" spans="1:8">
      <c r="A1000" t="s">
        <v>165</v>
      </c>
      <c r="B1000">
        <v>2004</v>
      </c>
      <c r="C1000" t="s">
        <v>7</v>
      </c>
      <c r="D1000">
        <v>0.92</v>
      </c>
      <c r="E1000" t="s">
        <v>411</v>
      </c>
      <c r="F1000" t="s">
        <v>63</v>
      </c>
      <c r="G1000" t="s">
        <v>412</v>
      </c>
      <c r="H1000" t="s">
        <v>879</v>
      </c>
    </row>
    <row r="1001" spans="1:8">
      <c r="A1001" t="s">
        <v>122</v>
      </c>
      <c r="B1001">
        <v>2005</v>
      </c>
      <c r="C1001" t="s">
        <v>7</v>
      </c>
      <c r="D1001">
        <v>0.92</v>
      </c>
      <c r="E1001" t="s">
        <v>411</v>
      </c>
      <c r="F1001" t="s">
        <v>63</v>
      </c>
      <c r="G1001" t="s">
        <v>412</v>
      </c>
      <c r="H1001" t="s">
        <v>879</v>
      </c>
    </row>
    <row r="1002" spans="1:8">
      <c r="A1002" t="s">
        <v>123</v>
      </c>
      <c r="B1002">
        <v>2005</v>
      </c>
      <c r="C1002" t="s">
        <v>7</v>
      </c>
      <c r="D1002">
        <v>2.12</v>
      </c>
      <c r="E1002" t="s">
        <v>411</v>
      </c>
      <c r="F1002" t="s">
        <v>63</v>
      </c>
      <c r="G1002" t="s">
        <v>412</v>
      </c>
      <c r="H1002" t="s">
        <v>879</v>
      </c>
    </row>
    <row r="1003" spans="1:8">
      <c r="A1003" t="s">
        <v>164</v>
      </c>
      <c r="B1003">
        <v>2005</v>
      </c>
      <c r="C1003" t="s">
        <v>7</v>
      </c>
      <c r="D1003">
        <v>0.23</v>
      </c>
      <c r="E1003" t="s">
        <v>411</v>
      </c>
      <c r="F1003" t="s">
        <v>63</v>
      </c>
      <c r="G1003" t="s">
        <v>412</v>
      </c>
      <c r="H1003" t="s">
        <v>879</v>
      </c>
    </row>
    <row r="1004" spans="1:8">
      <c r="A1004" t="s">
        <v>140</v>
      </c>
      <c r="B1004">
        <v>2005</v>
      </c>
      <c r="C1004" t="s">
        <v>7</v>
      </c>
      <c r="D1004">
        <v>0</v>
      </c>
      <c r="E1004" t="s">
        <v>411</v>
      </c>
      <c r="F1004" t="s">
        <v>63</v>
      </c>
      <c r="G1004" t="s">
        <v>412</v>
      </c>
      <c r="H1004" t="s">
        <v>879</v>
      </c>
    </row>
    <row r="1005" spans="1:8">
      <c r="A1005" t="s">
        <v>165</v>
      </c>
      <c r="B1005">
        <v>2005</v>
      </c>
      <c r="C1005" t="s">
        <v>7</v>
      </c>
      <c r="D1005">
        <v>0.92</v>
      </c>
      <c r="E1005" t="s">
        <v>411</v>
      </c>
      <c r="F1005" t="s">
        <v>63</v>
      </c>
      <c r="G1005" t="s">
        <v>412</v>
      </c>
      <c r="H1005" t="s">
        <v>879</v>
      </c>
    </row>
    <row r="1006" spans="1:8">
      <c r="A1006" t="s">
        <v>122</v>
      </c>
      <c r="B1006">
        <v>2006</v>
      </c>
      <c r="C1006" t="s">
        <v>7</v>
      </c>
      <c r="D1006">
        <v>0.92</v>
      </c>
      <c r="E1006" t="s">
        <v>411</v>
      </c>
      <c r="F1006" t="s">
        <v>63</v>
      </c>
      <c r="G1006" t="s">
        <v>412</v>
      </c>
      <c r="H1006" t="s">
        <v>879</v>
      </c>
    </row>
    <row r="1007" spans="1:8">
      <c r="A1007" t="s">
        <v>123</v>
      </c>
      <c r="B1007">
        <v>2006</v>
      </c>
      <c r="C1007" t="s">
        <v>7</v>
      </c>
      <c r="D1007">
        <v>2.52</v>
      </c>
      <c r="E1007" t="s">
        <v>411</v>
      </c>
      <c r="F1007" t="s">
        <v>63</v>
      </c>
      <c r="G1007" t="s">
        <v>412</v>
      </c>
      <c r="H1007" t="s">
        <v>879</v>
      </c>
    </row>
    <row r="1008" spans="1:8">
      <c r="A1008" t="s">
        <v>164</v>
      </c>
      <c r="B1008">
        <v>2006</v>
      </c>
      <c r="C1008" t="s">
        <v>7</v>
      </c>
      <c r="D1008">
        <v>0.23</v>
      </c>
      <c r="E1008" t="s">
        <v>411</v>
      </c>
      <c r="F1008" t="s">
        <v>63</v>
      </c>
      <c r="G1008" t="s">
        <v>412</v>
      </c>
      <c r="H1008" t="s">
        <v>879</v>
      </c>
    </row>
    <row r="1009" spans="1:8">
      <c r="A1009" t="s">
        <v>140</v>
      </c>
      <c r="B1009">
        <v>2006</v>
      </c>
      <c r="C1009" t="s">
        <v>7</v>
      </c>
      <c r="D1009">
        <v>0</v>
      </c>
      <c r="E1009" t="s">
        <v>411</v>
      </c>
      <c r="F1009" t="s">
        <v>63</v>
      </c>
      <c r="G1009" t="s">
        <v>412</v>
      </c>
      <c r="H1009" t="s">
        <v>879</v>
      </c>
    </row>
    <row r="1010" spans="1:8">
      <c r="A1010" t="s">
        <v>165</v>
      </c>
      <c r="B1010">
        <v>2006</v>
      </c>
      <c r="C1010" t="s">
        <v>7</v>
      </c>
      <c r="D1010">
        <v>0.92</v>
      </c>
      <c r="E1010" t="s">
        <v>411</v>
      </c>
      <c r="F1010" t="s">
        <v>63</v>
      </c>
      <c r="G1010" t="s">
        <v>412</v>
      </c>
      <c r="H1010" t="s">
        <v>879</v>
      </c>
    </row>
    <row r="1011" spans="1:8">
      <c r="A1011" t="s">
        <v>122</v>
      </c>
      <c r="B1011">
        <v>2007</v>
      </c>
      <c r="C1011" t="s">
        <v>7</v>
      </c>
      <c r="D1011">
        <v>0.92</v>
      </c>
      <c r="E1011" t="s">
        <v>411</v>
      </c>
      <c r="F1011" t="s">
        <v>63</v>
      </c>
      <c r="G1011" t="s">
        <v>412</v>
      </c>
      <c r="H1011" t="s">
        <v>879</v>
      </c>
    </row>
    <row r="1012" spans="1:8">
      <c r="A1012" t="s">
        <v>123</v>
      </c>
      <c r="B1012">
        <v>2007</v>
      </c>
      <c r="C1012" t="s">
        <v>7</v>
      </c>
      <c r="D1012">
        <v>2.92</v>
      </c>
      <c r="E1012" t="s">
        <v>411</v>
      </c>
      <c r="F1012" t="s">
        <v>63</v>
      </c>
      <c r="G1012" t="s">
        <v>412</v>
      </c>
      <c r="H1012" t="s">
        <v>879</v>
      </c>
    </row>
    <row r="1013" spans="1:8">
      <c r="A1013" t="s">
        <v>164</v>
      </c>
      <c r="B1013">
        <v>2007</v>
      </c>
      <c r="C1013" t="s">
        <v>7</v>
      </c>
      <c r="D1013">
        <v>0.23</v>
      </c>
      <c r="E1013" t="s">
        <v>411</v>
      </c>
      <c r="F1013" t="s">
        <v>63</v>
      </c>
      <c r="G1013" t="s">
        <v>412</v>
      </c>
      <c r="H1013" t="s">
        <v>879</v>
      </c>
    </row>
    <row r="1014" spans="1:8">
      <c r="A1014" t="s">
        <v>140</v>
      </c>
      <c r="B1014">
        <v>2007</v>
      </c>
      <c r="C1014" t="s">
        <v>7</v>
      </c>
      <c r="D1014">
        <v>0</v>
      </c>
      <c r="E1014" t="s">
        <v>411</v>
      </c>
      <c r="F1014" t="s">
        <v>63</v>
      </c>
      <c r="G1014" t="s">
        <v>412</v>
      </c>
      <c r="H1014" t="s">
        <v>879</v>
      </c>
    </row>
    <row r="1015" spans="1:8">
      <c r="A1015" t="s">
        <v>165</v>
      </c>
      <c r="B1015">
        <v>2007</v>
      </c>
      <c r="C1015" t="s">
        <v>7</v>
      </c>
      <c r="D1015">
        <v>0.92</v>
      </c>
      <c r="E1015" t="s">
        <v>411</v>
      </c>
      <c r="F1015" t="s">
        <v>63</v>
      </c>
      <c r="G1015" t="s">
        <v>412</v>
      </c>
      <c r="H1015" t="s">
        <v>879</v>
      </c>
    </row>
    <row r="1016" spans="1:8">
      <c r="A1016" t="s">
        <v>122</v>
      </c>
      <c r="B1016">
        <v>2008</v>
      </c>
      <c r="C1016" t="s">
        <v>7</v>
      </c>
      <c r="D1016">
        <v>0.92</v>
      </c>
      <c r="E1016" t="s">
        <v>411</v>
      </c>
      <c r="F1016" t="s">
        <v>63</v>
      </c>
      <c r="G1016" t="s">
        <v>412</v>
      </c>
      <c r="H1016" t="s">
        <v>879</v>
      </c>
    </row>
    <row r="1017" spans="1:8">
      <c r="A1017" t="s">
        <v>123</v>
      </c>
      <c r="B1017">
        <v>2008</v>
      </c>
      <c r="C1017" t="s">
        <v>7</v>
      </c>
      <c r="D1017">
        <v>2.92</v>
      </c>
      <c r="E1017" t="s">
        <v>411</v>
      </c>
      <c r="F1017" t="s">
        <v>63</v>
      </c>
      <c r="G1017" t="s">
        <v>412</v>
      </c>
      <c r="H1017" t="s">
        <v>879</v>
      </c>
    </row>
    <row r="1018" spans="1:8">
      <c r="A1018" t="s">
        <v>164</v>
      </c>
      <c r="B1018">
        <v>2008</v>
      </c>
      <c r="C1018" t="s">
        <v>7</v>
      </c>
      <c r="D1018">
        <v>0.23</v>
      </c>
      <c r="E1018" t="s">
        <v>411</v>
      </c>
      <c r="F1018" t="s">
        <v>63</v>
      </c>
      <c r="G1018" t="s">
        <v>412</v>
      </c>
      <c r="H1018" t="s">
        <v>879</v>
      </c>
    </row>
    <row r="1019" spans="1:8">
      <c r="A1019" t="s">
        <v>140</v>
      </c>
      <c r="B1019">
        <v>2008</v>
      </c>
      <c r="C1019" t="s">
        <v>7</v>
      </c>
      <c r="D1019">
        <v>0</v>
      </c>
      <c r="E1019" t="s">
        <v>411</v>
      </c>
      <c r="F1019" t="s">
        <v>63</v>
      </c>
      <c r="G1019" t="s">
        <v>412</v>
      </c>
      <c r="H1019" t="s">
        <v>879</v>
      </c>
    </row>
    <row r="1020" spans="1:8">
      <c r="A1020" t="s">
        <v>165</v>
      </c>
      <c r="B1020">
        <v>2008</v>
      </c>
      <c r="C1020" t="s">
        <v>7</v>
      </c>
      <c r="D1020">
        <v>0.92</v>
      </c>
      <c r="E1020" t="s">
        <v>411</v>
      </c>
      <c r="F1020" t="s">
        <v>63</v>
      </c>
      <c r="G1020" t="s">
        <v>412</v>
      </c>
      <c r="H1020" t="s">
        <v>879</v>
      </c>
    </row>
    <row r="1021" spans="1:8">
      <c r="A1021" t="s">
        <v>122</v>
      </c>
      <c r="B1021">
        <v>2009</v>
      </c>
      <c r="C1021" t="s">
        <v>7</v>
      </c>
      <c r="D1021">
        <v>0.92</v>
      </c>
      <c r="E1021" t="s">
        <v>411</v>
      </c>
      <c r="F1021" t="s">
        <v>63</v>
      </c>
      <c r="G1021" t="s">
        <v>412</v>
      </c>
      <c r="H1021" t="s">
        <v>879</v>
      </c>
    </row>
    <row r="1022" spans="1:8">
      <c r="A1022" t="s">
        <v>123</v>
      </c>
      <c r="B1022">
        <v>2009</v>
      </c>
      <c r="C1022" t="s">
        <v>7</v>
      </c>
      <c r="D1022">
        <v>2.92</v>
      </c>
      <c r="E1022" t="s">
        <v>411</v>
      </c>
      <c r="F1022" t="s">
        <v>63</v>
      </c>
      <c r="G1022" t="s">
        <v>412</v>
      </c>
      <c r="H1022" t="s">
        <v>879</v>
      </c>
    </row>
    <row r="1023" spans="1:8">
      <c r="A1023" t="s">
        <v>164</v>
      </c>
      <c r="B1023">
        <v>2009</v>
      </c>
      <c r="C1023" t="s">
        <v>7</v>
      </c>
      <c r="D1023">
        <v>0.23</v>
      </c>
      <c r="E1023" t="s">
        <v>411</v>
      </c>
      <c r="F1023" t="s">
        <v>63</v>
      </c>
      <c r="G1023" t="s">
        <v>412</v>
      </c>
      <c r="H1023" t="s">
        <v>879</v>
      </c>
    </row>
    <row r="1024" spans="1:8">
      <c r="A1024" t="s">
        <v>140</v>
      </c>
      <c r="B1024">
        <v>2009</v>
      </c>
      <c r="C1024" t="s">
        <v>7</v>
      </c>
      <c r="D1024">
        <v>0</v>
      </c>
      <c r="E1024" t="s">
        <v>411</v>
      </c>
      <c r="F1024" t="s">
        <v>63</v>
      </c>
      <c r="G1024" t="s">
        <v>412</v>
      </c>
      <c r="H1024" t="s">
        <v>879</v>
      </c>
    </row>
    <row r="1025" spans="1:8">
      <c r="A1025" t="s">
        <v>165</v>
      </c>
      <c r="B1025">
        <v>2009</v>
      </c>
      <c r="C1025" t="s">
        <v>7</v>
      </c>
      <c r="D1025">
        <v>0.92</v>
      </c>
      <c r="E1025" t="s">
        <v>411</v>
      </c>
      <c r="F1025" t="s">
        <v>63</v>
      </c>
      <c r="G1025" t="s">
        <v>412</v>
      </c>
      <c r="H1025" t="s">
        <v>879</v>
      </c>
    </row>
    <row r="1026" spans="1:8">
      <c r="A1026" t="s">
        <v>122</v>
      </c>
      <c r="B1026">
        <v>2010</v>
      </c>
      <c r="C1026" t="s">
        <v>7</v>
      </c>
      <c r="D1026">
        <v>0.92</v>
      </c>
      <c r="E1026" t="s">
        <v>411</v>
      </c>
      <c r="F1026" t="s">
        <v>63</v>
      </c>
      <c r="G1026" t="s">
        <v>412</v>
      </c>
      <c r="H1026" t="s">
        <v>879</v>
      </c>
    </row>
    <row r="1027" spans="1:8">
      <c r="A1027" t="s">
        <v>123</v>
      </c>
      <c r="B1027">
        <v>2010</v>
      </c>
      <c r="C1027" t="s">
        <v>7</v>
      </c>
      <c r="D1027">
        <v>3.8</v>
      </c>
      <c r="E1027" t="s">
        <v>411</v>
      </c>
      <c r="F1027" t="s">
        <v>63</v>
      </c>
      <c r="G1027" t="s">
        <v>412</v>
      </c>
      <c r="H1027" t="s">
        <v>879</v>
      </c>
    </row>
    <row r="1028" spans="1:8">
      <c r="A1028" t="s">
        <v>164</v>
      </c>
      <c r="B1028">
        <v>2010</v>
      </c>
      <c r="C1028" t="s">
        <v>7</v>
      </c>
      <c r="D1028">
        <v>0.24</v>
      </c>
      <c r="E1028" t="s">
        <v>411</v>
      </c>
      <c r="F1028" t="s">
        <v>63</v>
      </c>
      <c r="G1028" t="s">
        <v>412</v>
      </c>
      <c r="H1028" t="s">
        <v>879</v>
      </c>
    </row>
    <row r="1029" spans="1:8">
      <c r="A1029" t="s">
        <v>140</v>
      </c>
      <c r="B1029">
        <v>2010</v>
      </c>
      <c r="C1029" t="s">
        <v>7</v>
      </c>
      <c r="D1029">
        <v>0</v>
      </c>
      <c r="E1029" t="s">
        <v>411</v>
      </c>
      <c r="F1029" t="s">
        <v>63</v>
      </c>
      <c r="G1029" t="s">
        <v>412</v>
      </c>
      <c r="H1029" t="s">
        <v>879</v>
      </c>
    </row>
    <row r="1030" spans="1:8">
      <c r="A1030" t="s">
        <v>165</v>
      </c>
      <c r="B1030">
        <v>2010</v>
      </c>
      <c r="C1030" t="s">
        <v>7</v>
      </c>
      <c r="D1030">
        <v>1.03</v>
      </c>
      <c r="E1030" t="s">
        <v>411</v>
      </c>
      <c r="F1030" t="s">
        <v>63</v>
      </c>
      <c r="G1030" t="s">
        <v>412</v>
      </c>
      <c r="H1030" t="s">
        <v>879</v>
      </c>
    </row>
    <row r="1031" spans="1:8">
      <c r="A1031" t="s">
        <v>122</v>
      </c>
      <c r="B1031">
        <v>2011</v>
      </c>
      <c r="C1031" t="s">
        <v>7</v>
      </c>
      <c r="D1031">
        <v>0.92</v>
      </c>
      <c r="E1031" t="s">
        <v>411</v>
      </c>
      <c r="F1031" t="s">
        <v>63</v>
      </c>
      <c r="G1031" t="s">
        <v>412</v>
      </c>
      <c r="H1031" t="s">
        <v>879</v>
      </c>
    </row>
    <row r="1032" spans="1:8">
      <c r="A1032" t="s">
        <v>123</v>
      </c>
      <c r="B1032">
        <v>2011</v>
      </c>
      <c r="C1032" t="s">
        <v>7</v>
      </c>
      <c r="D1032">
        <v>3.8</v>
      </c>
      <c r="E1032" t="s">
        <v>411</v>
      </c>
      <c r="F1032" t="s">
        <v>63</v>
      </c>
      <c r="G1032" t="s">
        <v>412</v>
      </c>
      <c r="H1032" t="s">
        <v>879</v>
      </c>
    </row>
    <row r="1033" spans="1:8">
      <c r="A1033" t="s">
        <v>164</v>
      </c>
      <c r="B1033">
        <v>2011</v>
      </c>
      <c r="C1033" t="s">
        <v>7</v>
      </c>
      <c r="D1033">
        <v>0.24</v>
      </c>
      <c r="E1033" t="s">
        <v>411</v>
      </c>
      <c r="F1033" t="s">
        <v>63</v>
      </c>
      <c r="G1033" t="s">
        <v>412</v>
      </c>
      <c r="H1033" t="s">
        <v>879</v>
      </c>
    </row>
    <row r="1034" spans="1:8">
      <c r="A1034" t="s">
        <v>140</v>
      </c>
      <c r="B1034">
        <v>2011</v>
      </c>
      <c r="C1034" t="s">
        <v>7</v>
      </c>
      <c r="D1034">
        <v>0</v>
      </c>
      <c r="E1034" t="s">
        <v>411</v>
      </c>
      <c r="F1034" t="s">
        <v>63</v>
      </c>
      <c r="G1034" t="s">
        <v>412</v>
      </c>
      <c r="H1034" t="s">
        <v>879</v>
      </c>
    </row>
    <row r="1035" spans="1:8">
      <c r="A1035" t="s">
        <v>165</v>
      </c>
      <c r="B1035">
        <v>2011</v>
      </c>
      <c r="C1035" t="s">
        <v>7</v>
      </c>
      <c r="D1035">
        <v>1.03</v>
      </c>
      <c r="E1035" t="s">
        <v>411</v>
      </c>
      <c r="F1035" t="s">
        <v>63</v>
      </c>
      <c r="G1035" t="s">
        <v>412</v>
      </c>
      <c r="H1035" t="s">
        <v>879</v>
      </c>
    </row>
    <row r="1036" spans="1:8">
      <c r="A1036" t="s">
        <v>122</v>
      </c>
      <c r="B1036">
        <v>2012</v>
      </c>
      <c r="C1036" t="s">
        <v>7</v>
      </c>
      <c r="D1036">
        <v>0.92</v>
      </c>
      <c r="E1036" t="s">
        <v>411</v>
      </c>
      <c r="F1036" t="s">
        <v>63</v>
      </c>
      <c r="G1036" t="s">
        <v>412</v>
      </c>
      <c r="H1036" t="s">
        <v>879</v>
      </c>
    </row>
    <row r="1037" spans="1:8">
      <c r="A1037" t="s">
        <v>123</v>
      </c>
      <c r="B1037">
        <v>2012</v>
      </c>
      <c r="C1037" t="s">
        <v>7</v>
      </c>
      <c r="D1037">
        <v>3.8</v>
      </c>
      <c r="E1037" t="s">
        <v>411</v>
      </c>
      <c r="F1037" t="s">
        <v>63</v>
      </c>
      <c r="G1037" t="s">
        <v>412</v>
      </c>
      <c r="H1037" t="s">
        <v>879</v>
      </c>
    </row>
    <row r="1038" spans="1:8">
      <c r="A1038" t="s">
        <v>164</v>
      </c>
      <c r="B1038">
        <v>2012</v>
      </c>
      <c r="C1038" t="s">
        <v>7</v>
      </c>
      <c r="D1038">
        <v>0.24</v>
      </c>
      <c r="E1038" t="s">
        <v>411</v>
      </c>
      <c r="F1038" t="s">
        <v>63</v>
      </c>
      <c r="G1038" t="s">
        <v>412</v>
      </c>
      <c r="H1038" t="s">
        <v>879</v>
      </c>
    </row>
    <row r="1039" spans="1:8">
      <c r="A1039" t="s">
        <v>140</v>
      </c>
      <c r="B1039">
        <v>2012</v>
      </c>
      <c r="C1039" t="s">
        <v>7</v>
      </c>
      <c r="D1039">
        <v>0</v>
      </c>
      <c r="E1039" t="s">
        <v>411</v>
      </c>
      <c r="F1039" t="s">
        <v>63</v>
      </c>
      <c r="G1039" t="s">
        <v>412</v>
      </c>
      <c r="H1039" t="s">
        <v>879</v>
      </c>
    </row>
    <row r="1040" spans="1:8">
      <c r="A1040" t="s">
        <v>165</v>
      </c>
      <c r="B1040">
        <v>2012</v>
      </c>
      <c r="C1040" t="s">
        <v>7</v>
      </c>
      <c r="D1040">
        <v>1.03</v>
      </c>
      <c r="E1040" t="s">
        <v>411</v>
      </c>
      <c r="F1040" t="s">
        <v>63</v>
      </c>
      <c r="G1040" t="s">
        <v>412</v>
      </c>
      <c r="H1040" t="s">
        <v>879</v>
      </c>
    </row>
    <row r="1041" spans="1:8">
      <c r="A1041" t="s">
        <v>122</v>
      </c>
      <c r="B1041">
        <v>2013</v>
      </c>
      <c r="C1041" t="s">
        <v>7</v>
      </c>
      <c r="D1041">
        <v>0.92</v>
      </c>
      <c r="E1041" t="s">
        <v>411</v>
      </c>
      <c r="F1041" t="s">
        <v>63</v>
      </c>
      <c r="G1041" t="s">
        <v>412</v>
      </c>
      <c r="H1041" t="s">
        <v>879</v>
      </c>
    </row>
    <row r="1042" spans="1:8">
      <c r="A1042" t="s">
        <v>123</v>
      </c>
      <c r="B1042">
        <v>2013</v>
      </c>
      <c r="C1042" t="s">
        <v>7</v>
      </c>
      <c r="D1042">
        <v>3.8</v>
      </c>
      <c r="E1042" t="s">
        <v>411</v>
      </c>
      <c r="F1042" t="s">
        <v>63</v>
      </c>
      <c r="G1042" t="s">
        <v>412</v>
      </c>
      <c r="H1042" t="s">
        <v>879</v>
      </c>
    </row>
    <row r="1043" spans="1:8">
      <c r="A1043" t="s">
        <v>164</v>
      </c>
      <c r="B1043">
        <v>2013</v>
      </c>
      <c r="C1043" t="s">
        <v>7</v>
      </c>
      <c r="D1043">
        <v>0.24</v>
      </c>
      <c r="E1043" t="s">
        <v>411</v>
      </c>
      <c r="F1043" t="s">
        <v>63</v>
      </c>
      <c r="G1043" t="s">
        <v>412</v>
      </c>
      <c r="H1043" t="s">
        <v>879</v>
      </c>
    </row>
    <row r="1044" spans="1:8">
      <c r="A1044" t="s">
        <v>140</v>
      </c>
      <c r="B1044">
        <v>2013</v>
      </c>
      <c r="C1044" t="s">
        <v>7</v>
      </c>
      <c r="D1044">
        <v>0</v>
      </c>
      <c r="E1044" t="s">
        <v>411</v>
      </c>
      <c r="F1044" t="s">
        <v>63</v>
      </c>
      <c r="G1044" t="s">
        <v>412</v>
      </c>
      <c r="H1044" t="s">
        <v>879</v>
      </c>
    </row>
    <row r="1045" spans="1:8">
      <c r="A1045" t="s">
        <v>165</v>
      </c>
      <c r="B1045">
        <v>2013</v>
      </c>
      <c r="C1045" t="s">
        <v>7</v>
      </c>
      <c r="D1045">
        <v>1.03</v>
      </c>
      <c r="E1045" t="s">
        <v>411</v>
      </c>
      <c r="F1045" t="s">
        <v>63</v>
      </c>
      <c r="G1045" t="s">
        <v>412</v>
      </c>
      <c r="H1045" t="s">
        <v>879</v>
      </c>
    </row>
    <row r="1046" spans="1:8">
      <c r="A1046" t="s">
        <v>122</v>
      </c>
      <c r="B1046">
        <v>2014</v>
      </c>
      <c r="C1046" t="s">
        <v>7</v>
      </c>
      <c r="D1046">
        <v>0.92</v>
      </c>
      <c r="E1046" t="s">
        <v>411</v>
      </c>
      <c r="F1046" t="s">
        <v>63</v>
      </c>
      <c r="G1046" t="s">
        <v>412</v>
      </c>
      <c r="H1046" t="s">
        <v>879</v>
      </c>
    </row>
    <row r="1047" spans="1:8">
      <c r="A1047" t="s">
        <v>123</v>
      </c>
      <c r="B1047">
        <v>2014</v>
      </c>
      <c r="C1047" t="s">
        <v>7</v>
      </c>
      <c r="D1047">
        <v>3.8</v>
      </c>
      <c r="E1047" t="s">
        <v>411</v>
      </c>
      <c r="F1047" t="s">
        <v>63</v>
      </c>
      <c r="G1047" t="s">
        <v>412</v>
      </c>
      <c r="H1047" t="s">
        <v>879</v>
      </c>
    </row>
    <row r="1048" spans="1:8">
      <c r="A1048" t="s">
        <v>164</v>
      </c>
      <c r="B1048">
        <v>2014</v>
      </c>
      <c r="C1048" t="s">
        <v>7</v>
      </c>
      <c r="D1048">
        <v>0.24</v>
      </c>
      <c r="E1048" t="s">
        <v>411</v>
      </c>
      <c r="F1048" t="s">
        <v>63</v>
      </c>
      <c r="G1048" t="s">
        <v>412</v>
      </c>
      <c r="H1048" t="s">
        <v>879</v>
      </c>
    </row>
    <row r="1049" spans="1:8">
      <c r="A1049" t="s">
        <v>140</v>
      </c>
      <c r="B1049">
        <v>2014</v>
      </c>
      <c r="C1049" t="s">
        <v>7</v>
      </c>
      <c r="D1049">
        <v>0</v>
      </c>
      <c r="E1049" t="s">
        <v>411</v>
      </c>
      <c r="F1049" t="s">
        <v>63</v>
      </c>
      <c r="G1049" t="s">
        <v>412</v>
      </c>
      <c r="H1049" t="s">
        <v>879</v>
      </c>
    </row>
    <row r="1050" spans="1:8">
      <c r="A1050" t="s">
        <v>165</v>
      </c>
      <c r="B1050">
        <v>2014</v>
      </c>
      <c r="C1050" t="s">
        <v>7</v>
      </c>
      <c r="D1050">
        <v>1.03</v>
      </c>
      <c r="E1050" t="s">
        <v>411</v>
      </c>
      <c r="F1050" t="s">
        <v>63</v>
      </c>
      <c r="G1050" t="s">
        <v>412</v>
      </c>
      <c r="H1050" t="s">
        <v>879</v>
      </c>
    </row>
    <row r="1051" spans="1:8">
      <c r="A1051" t="s">
        <v>122</v>
      </c>
      <c r="B1051">
        <v>2015</v>
      </c>
      <c r="C1051" t="s">
        <v>7</v>
      </c>
      <c r="D1051">
        <v>0.92</v>
      </c>
      <c r="E1051" t="s">
        <v>411</v>
      </c>
      <c r="F1051" t="s">
        <v>63</v>
      </c>
      <c r="G1051" t="s">
        <v>412</v>
      </c>
      <c r="H1051" t="s">
        <v>879</v>
      </c>
    </row>
    <row r="1052" spans="1:8">
      <c r="A1052" t="s">
        <v>123</v>
      </c>
      <c r="B1052">
        <v>2015</v>
      </c>
      <c r="C1052" t="s">
        <v>7</v>
      </c>
      <c r="D1052">
        <v>4.26</v>
      </c>
      <c r="E1052" t="s">
        <v>411</v>
      </c>
      <c r="F1052" t="s">
        <v>63</v>
      </c>
      <c r="G1052" t="s">
        <v>412</v>
      </c>
      <c r="H1052" t="s">
        <v>879</v>
      </c>
    </row>
    <row r="1053" spans="1:8">
      <c r="A1053" t="s">
        <v>164</v>
      </c>
      <c r="B1053">
        <v>2015</v>
      </c>
      <c r="C1053" t="s">
        <v>7</v>
      </c>
      <c r="D1053">
        <v>0.24</v>
      </c>
      <c r="E1053" t="s">
        <v>411</v>
      </c>
      <c r="F1053" t="s">
        <v>63</v>
      </c>
      <c r="G1053" t="s">
        <v>412</v>
      </c>
      <c r="H1053" t="s">
        <v>879</v>
      </c>
    </row>
    <row r="1054" spans="1:8">
      <c r="A1054" t="s">
        <v>140</v>
      </c>
      <c r="B1054">
        <v>2015</v>
      </c>
      <c r="C1054" t="s">
        <v>7</v>
      </c>
      <c r="D1054">
        <v>0</v>
      </c>
      <c r="E1054" t="s">
        <v>411</v>
      </c>
      <c r="F1054" t="s">
        <v>63</v>
      </c>
      <c r="G1054" t="s">
        <v>412</v>
      </c>
      <c r="H1054" t="s">
        <v>879</v>
      </c>
    </row>
    <row r="1055" spans="1:8">
      <c r="A1055" t="s">
        <v>165</v>
      </c>
      <c r="B1055">
        <v>2015</v>
      </c>
      <c r="C1055" t="s">
        <v>7</v>
      </c>
      <c r="D1055">
        <v>1.03</v>
      </c>
      <c r="E1055" t="s">
        <v>411</v>
      </c>
      <c r="F1055" t="s">
        <v>63</v>
      </c>
      <c r="G1055" t="s">
        <v>412</v>
      </c>
      <c r="H1055" t="s">
        <v>879</v>
      </c>
    </row>
    <row r="1056" spans="1:8">
      <c r="A1056" t="s">
        <v>122</v>
      </c>
      <c r="B1056">
        <v>2016</v>
      </c>
      <c r="C1056" t="s">
        <v>7</v>
      </c>
      <c r="D1056">
        <v>0.92</v>
      </c>
      <c r="E1056" t="s">
        <v>411</v>
      </c>
      <c r="F1056" t="s">
        <v>63</v>
      </c>
      <c r="G1056" t="s">
        <v>412</v>
      </c>
      <c r="H1056" t="s">
        <v>879</v>
      </c>
    </row>
    <row r="1057" spans="1:8">
      <c r="A1057" t="s">
        <v>123</v>
      </c>
      <c r="B1057">
        <v>2016</v>
      </c>
      <c r="C1057" t="s">
        <v>7</v>
      </c>
      <c r="D1057">
        <v>4.26</v>
      </c>
      <c r="E1057" t="s">
        <v>411</v>
      </c>
      <c r="F1057" t="s">
        <v>63</v>
      </c>
      <c r="G1057" t="s">
        <v>412</v>
      </c>
      <c r="H1057" t="s">
        <v>879</v>
      </c>
    </row>
    <row r="1058" spans="1:8">
      <c r="A1058" t="s">
        <v>164</v>
      </c>
      <c r="B1058">
        <v>2016</v>
      </c>
      <c r="C1058" t="s">
        <v>7</v>
      </c>
      <c r="D1058">
        <v>0.24</v>
      </c>
      <c r="E1058" t="s">
        <v>411</v>
      </c>
      <c r="F1058" t="s">
        <v>63</v>
      </c>
      <c r="G1058" t="s">
        <v>412</v>
      </c>
      <c r="H1058" t="s">
        <v>879</v>
      </c>
    </row>
    <row r="1059" spans="1:8">
      <c r="A1059" t="s">
        <v>140</v>
      </c>
      <c r="B1059">
        <v>2016</v>
      </c>
      <c r="C1059" t="s">
        <v>7</v>
      </c>
      <c r="D1059">
        <v>0</v>
      </c>
      <c r="E1059" t="s">
        <v>411</v>
      </c>
      <c r="F1059" t="s">
        <v>63</v>
      </c>
      <c r="G1059" t="s">
        <v>412</v>
      </c>
      <c r="H1059" t="s">
        <v>879</v>
      </c>
    </row>
    <row r="1060" spans="1:8">
      <c r="A1060" t="s">
        <v>165</v>
      </c>
      <c r="B1060">
        <v>2016</v>
      </c>
      <c r="C1060" t="s">
        <v>7</v>
      </c>
      <c r="D1060">
        <v>1.03</v>
      </c>
      <c r="E1060" t="s">
        <v>411</v>
      </c>
      <c r="F1060" t="s">
        <v>63</v>
      </c>
      <c r="G1060" t="s">
        <v>412</v>
      </c>
      <c r="H1060" t="s">
        <v>879</v>
      </c>
    </row>
    <row r="1061" spans="1:8">
      <c r="A1061" t="s">
        <v>122</v>
      </c>
      <c r="B1061">
        <v>2017</v>
      </c>
      <c r="C1061" t="s">
        <v>7</v>
      </c>
      <c r="D1061">
        <v>0.92</v>
      </c>
      <c r="E1061" t="s">
        <v>411</v>
      </c>
      <c r="F1061" t="s">
        <v>63</v>
      </c>
      <c r="G1061" t="s">
        <v>412</v>
      </c>
      <c r="H1061" t="s">
        <v>879</v>
      </c>
    </row>
    <row r="1062" spans="1:8">
      <c r="A1062" t="s">
        <v>123</v>
      </c>
      <c r="B1062">
        <v>2017</v>
      </c>
      <c r="C1062" t="s">
        <v>7</v>
      </c>
      <c r="D1062">
        <v>4.26</v>
      </c>
      <c r="E1062" t="s">
        <v>411</v>
      </c>
      <c r="F1062" t="s">
        <v>63</v>
      </c>
      <c r="G1062" t="s">
        <v>412</v>
      </c>
      <c r="H1062" t="s">
        <v>879</v>
      </c>
    </row>
    <row r="1063" spans="1:8">
      <c r="A1063" t="s">
        <v>164</v>
      </c>
      <c r="B1063">
        <v>2017</v>
      </c>
      <c r="C1063" t="s">
        <v>7</v>
      </c>
      <c r="D1063">
        <v>0.24</v>
      </c>
      <c r="E1063" t="s">
        <v>411</v>
      </c>
      <c r="F1063" t="s">
        <v>63</v>
      </c>
      <c r="G1063" t="s">
        <v>412</v>
      </c>
      <c r="H1063" t="s">
        <v>879</v>
      </c>
    </row>
    <row r="1064" spans="1:8">
      <c r="A1064" t="s">
        <v>140</v>
      </c>
      <c r="B1064">
        <v>2017</v>
      </c>
      <c r="C1064" t="s">
        <v>7</v>
      </c>
      <c r="D1064">
        <v>0</v>
      </c>
      <c r="E1064" t="s">
        <v>411</v>
      </c>
      <c r="F1064" t="s">
        <v>63</v>
      </c>
      <c r="G1064" t="s">
        <v>412</v>
      </c>
      <c r="H1064" t="s">
        <v>879</v>
      </c>
    </row>
    <row r="1065" spans="1:8">
      <c r="A1065" t="s">
        <v>165</v>
      </c>
      <c r="B1065">
        <v>2017</v>
      </c>
      <c r="C1065" t="s">
        <v>7</v>
      </c>
      <c r="D1065">
        <v>1.03</v>
      </c>
      <c r="E1065" t="s">
        <v>411</v>
      </c>
      <c r="F1065" t="s">
        <v>63</v>
      </c>
      <c r="G1065" t="s">
        <v>412</v>
      </c>
      <c r="H1065" t="s">
        <v>879</v>
      </c>
    </row>
    <row r="1066" spans="1:8">
      <c r="A1066" t="s">
        <v>122</v>
      </c>
      <c r="B1066">
        <v>2018</v>
      </c>
      <c r="C1066" t="s">
        <v>7</v>
      </c>
      <c r="D1066">
        <v>0.92</v>
      </c>
      <c r="E1066" t="s">
        <v>411</v>
      </c>
      <c r="F1066" t="s">
        <v>63</v>
      </c>
      <c r="G1066" t="s">
        <v>412</v>
      </c>
      <c r="H1066" t="s">
        <v>879</v>
      </c>
    </row>
    <row r="1067" spans="1:8">
      <c r="A1067" t="s">
        <v>123</v>
      </c>
      <c r="B1067">
        <v>2018</v>
      </c>
      <c r="C1067" t="s">
        <v>7</v>
      </c>
      <c r="D1067">
        <v>4.26</v>
      </c>
      <c r="E1067" t="s">
        <v>411</v>
      </c>
      <c r="F1067" t="s">
        <v>63</v>
      </c>
      <c r="G1067" t="s">
        <v>412</v>
      </c>
      <c r="H1067" t="s">
        <v>879</v>
      </c>
    </row>
    <row r="1068" spans="1:8">
      <c r="A1068" t="s">
        <v>164</v>
      </c>
      <c r="B1068">
        <v>2018</v>
      </c>
      <c r="C1068" t="s">
        <v>7</v>
      </c>
      <c r="D1068">
        <v>0.24</v>
      </c>
      <c r="E1068" t="s">
        <v>411</v>
      </c>
      <c r="F1068" t="s">
        <v>63</v>
      </c>
      <c r="G1068" t="s">
        <v>412</v>
      </c>
      <c r="H1068" t="s">
        <v>879</v>
      </c>
    </row>
    <row r="1069" spans="1:8">
      <c r="A1069" t="s">
        <v>140</v>
      </c>
      <c r="B1069">
        <v>2018</v>
      </c>
      <c r="C1069" t="s">
        <v>7</v>
      </c>
      <c r="D1069">
        <v>0</v>
      </c>
      <c r="E1069" t="s">
        <v>411</v>
      </c>
      <c r="F1069" t="s">
        <v>63</v>
      </c>
      <c r="G1069" t="s">
        <v>412</v>
      </c>
      <c r="H1069" t="s">
        <v>879</v>
      </c>
    </row>
    <row r="1070" spans="1:8">
      <c r="A1070" t="s">
        <v>165</v>
      </c>
      <c r="B1070">
        <v>2018</v>
      </c>
      <c r="C1070" t="s">
        <v>7</v>
      </c>
      <c r="D1070">
        <v>1.03</v>
      </c>
      <c r="E1070" t="s">
        <v>411</v>
      </c>
      <c r="F1070" t="s">
        <v>63</v>
      </c>
      <c r="G1070" t="s">
        <v>412</v>
      </c>
      <c r="H1070" t="s">
        <v>879</v>
      </c>
    </row>
    <row r="1071" spans="1:8">
      <c r="A1071" t="s">
        <v>122</v>
      </c>
      <c r="B1071">
        <v>2019</v>
      </c>
      <c r="C1071" t="s">
        <v>7</v>
      </c>
      <c r="D1071">
        <v>0.92</v>
      </c>
      <c r="E1071" t="s">
        <v>411</v>
      </c>
      <c r="F1071" t="s">
        <v>63</v>
      </c>
      <c r="G1071" t="s">
        <v>412</v>
      </c>
      <c r="H1071" t="s">
        <v>879</v>
      </c>
    </row>
    <row r="1072" spans="1:8">
      <c r="A1072" t="s">
        <v>123</v>
      </c>
      <c r="B1072">
        <v>2019</v>
      </c>
      <c r="C1072" t="s">
        <v>7</v>
      </c>
      <c r="D1072">
        <v>4.26</v>
      </c>
      <c r="E1072" t="s">
        <v>411</v>
      </c>
      <c r="F1072" t="s">
        <v>63</v>
      </c>
      <c r="G1072" t="s">
        <v>412</v>
      </c>
      <c r="H1072" t="s">
        <v>879</v>
      </c>
    </row>
    <row r="1073" spans="1:8">
      <c r="A1073" t="s">
        <v>164</v>
      </c>
      <c r="B1073">
        <v>2019</v>
      </c>
      <c r="C1073" t="s">
        <v>7</v>
      </c>
      <c r="D1073">
        <v>0.24</v>
      </c>
      <c r="E1073" t="s">
        <v>411</v>
      </c>
      <c r="F1073" t="s">
        <v>63</v>
      </c>
      <c r="G1073" t="s">
        <v>412</v>
      </c>
      <c r="H1073" t="s">
        <v>879</v>
      </c>
    </row>
    <row r="1074" spans="1:8">
      <c r="A1074" t="s">
        <v>140</v>
      </c>
      <c r="B1074">
        <v>2019</v>
      </c>
      <c r="C1074" t="s">
        <v>7</v>
      </c>
      <c r="D1074">
        <v>0</v>
      </c>
      <c r="E1074" t="s">
        <v>411</v>
      </c>
      <c r="F1074" t="s">
        <v>63</v>
      </c>
      <c r="G1074" t="s">
        <v>412</v>
      </c>
      <c r="H1074" t="s">
        <v>879</v>
      </c>
    </row>
    <row r="1075" spans="1:8">
      <c r="A1075" t="s">
        <v>165</v>
      </c>
      <c r="B1075">
        <v>2019</v>
      </c>
      <c r="C1075" t="s">
        <v>7</v>
      </c>
      <c r="D1075">
        <v>1.03</v>
      </c>
      <c r="E1075" t="s">
        <v>411</v>
      </c>
      <c r="F1075" t="s">
        <v>63</v>
      </c>
      <c r="G1075" t="s">
        <v>412</v>
      </c>
      <c r="H1075" t="s">
        <v>879</v>
      </c>
    </row>
    <row r="1076" spans="1:8">
      <c r="A1076" t="s">
        <v>122</v>
      </c>
      <c r="B1076">
        <v>2020</v>
      </c>
      <c r="C1076" t="s">
        <v>7</v>
      </c>
      <c r="D1076">
        <v>0.92</v>
      </c>
      <c r="E1076" t="s">
        <v>411</v>
      </c>
      <c r="F1076" t="s">
        <v>63</v>
      </c>
      <c r="G1076" t="s">
        <v>412</v>
      </c>
      <c r="H1076" t="s">
        <v>879</v>
      </c>
    </row>
    <row r="1077" spans="1:8">
      <c r="A1077" t="s">
        <v>123</v>
      </c>
      <c r="B1077">
        <v>2020</v>
      </c>
      <c r="C1077" t="s">
        <v>7</v>
      </c>
      <c r="D1077">
        <v>4.26</v>
      </c>
      <c r="E1077" t="s">
        <v>411</v>
      </c>
      <c r="F1077" t="s">
        <v>63</v>
      </c>
      <c r="G1077" t="s">
        <v>412</v>
      </c>
      <c r="H1077" t="s">
        <v>879</v>
      </c>
    </row>
    <row r="1078" spans="1:8">
      <c r="A1078" t="s">
        <v>164</v>
      </c>
      <c r="B1078">
        <v>2020</v>
      </c>
      <c r="C1078" t="s">
        <v>7</v>
      </c>
      <c r="D1078">
        <v>0.24</v>
      </c>
      <c r="E1078" t="s">
        <v>411</v>
      </c>
      <c r="F1078" t="s">
        <v>63</v>
      </c>
      <c r="G1078" t="s">
        <v>412</v>
      </c>
      <c r="H1078" t="s">
        <v>879</v>
      </c>
    </row>
    <row r="1079" spans="1:8">
      <c r="A1079" t="s">
        <v>140</v>
      </c>
      <c r="B1079">
        <v>2020</v>
      </c>
      <c r="C1079" t="s">
        <v>7</v>
      </c>
      <c r="D1079">
        <v>0</v>
      </c>
      <c r="E1079" t="s">
        <v>411</v>
      </c>
      <c r="F1079" t="s">
        <v>63</v>
      </c>
      <c r="G1079" t="s">
        <v>412</v>
      </c>
      <c r="H1079" t="s">
        <v>879</v>
      </c>
    </row>
    <row r="1080" spans="1:8">
      <c r="A1080" t="s">
        <v>165</v>
      </c>
      <c r="B1080">
        <v>2020</v>
      </c>
      <c r="C1080" t="s">
        <v>7</v>
      </c>
      <c r="D1080">
        <v>1.03</v>
      </c>
      <c r="E1080" t="s">
        <v>411</v>
      </c>
      <c r="F1080" t="s">
        <v>63</v>
      </c>
      <c r="G1080" t="s">
        <v>412</v>
      </c>
      <c r="H1080" t="s">
        <v>879</v>
      </c>
    </row>
    <row r="1081" spans="1:8">
      <c r="A1081" t="s">
        <v>122</v>
      </c>
      <c r="B1081">
        <v>2021</v>
      </c>
      <c r="C1081" t="s">
        <v>7</v>
      </c>
      <c r="D1081">
        <v>0.92</v>
      </c>
      <c r="E1081" t="s">
        <v>411</v>
      </c>
      <c r="F1081" t="s">
        <v>63</v>
      </c>
      <c r="G1081" t="s">
        <v>412</v>
      </c>
      <c r="H1081" t="s">
        <v>879</v>
      </c>
    </row>
    <row r="1082" spans="1:8">
      <c r="A1082" t="s">
        <v>123</v>
      </c>
      <c r="B1082">
        <v>2021</v>
      </c>
      <c r="C1082" t="s">
        <v>7</v>
      </c>
      <c r="D1082">
        <v>4.1500000000000004</v>
      </c>
      <c r="E1082" t="s">
        <v>411</v>
      </c>
      <c r="F1082" t="s">
        <v>63</v>
      </c>
      <c r="G1082" t="s">
        <v>412</v>
      </c>
      <c r="H1082" t="s">
        <v>879</v>
      </c>
    </row>
    <row r="1083" spans="1:8">
      <c r="A1083" t="s">
        <v>164</v>
      </c>
      <c r="B1083">
        <v>2021</v>
      </c>
      <c r="C1083" t="s">
        <v>7</v>
      </c>
      <c r="D1083">
        <v>0.24</v>
      </c>
      <c r="E1083" t="s">
        <v>411</v>
      </c>
      <c r="F1083" t="s">
        <v>63</v>
      </c>
      <c r="G1083" t="s">
        <v>412</v>
      </c>
      <c r="H1083" t="s">
        <v>879</v>
      </c>
    </row>
    <row r="1084" spans="1:8">
      <c r="A1084" t="s">
        <v>140</v>
      </c>
      <c r="B1084">
        <v>2021</v>
      </c>
      <c r="C1084" t="s">
        <v>7</v>
      </c>
      <c r="D1084">
        <v>0</v>
      </c>
      <c r="E1084" t="s">
        <v>411</v>
      </c>
      <c r="F1084" t="s">
        <v>63</v>
      </c>
      <c r="G1084" t="s">
        <v>412</v>
      </c>
      <c r="H1084" t="s">
        <v>879</v>
      </c>
    </row>
    <row r="1085" spans="1:8">
      <c r="A1085" t="s">
        <v>165</v>
      </c>
      <c r="B1085">
        <v>2021</v>
      </c>
      <c r="C1085" t="s">
        <v>7</v>
      </c>
      <c r="D1085">
        <v>1.03</v>
      </c>
      <c r="E1085" t="s">
        <v>411</v>
      </c>
      <c r="F1085" t="s">
        <v>63</v>
      </c>
      <c r="G1085" t="s">
        <v>412</v>
      </c>
      <c r="H1085" t="s">
        <v>879</v>
      </c>
    </row>
    <row r="1086" spans="1:8">
      <c r="A1086" t="s">
        <v>122</v>
      </c>
      <c r="B1086">
        <v>2022</v>
      </c>
      <c r="C1086" t="s">
        <v>7</v>
      </c>
      <c r="D1086">
        <v>0.92</v>
      </c>
      <c r="E1086" t="s">
        <v>411</v>
      </c>
      <c r="F1086" t="s">
        <v>63</v>
      </c>
      <c r="G1086" t="s">
        <v>412</v>
      </c>
      <c r="H1086" t="s">
        <v>879</v>
      </c>
    </row>
    <row r="1087" spans="1:8">
      <c r="A1087" t="s">
        <v>123</v>
      </c>
      <c r="B1087">
        <v>2022</v>
      </c>
      <c r="C1087" t="s">
        <v>7</v>
      </c>
      <c r="D1087">
        <v>4.1500000000000004</v>
      </c>
      <c r="E1087" t="s">
        <v>411</v>
      </c>
      <c r="F1087" t="s">
        <v>63</v>
      </c>
      <c r="G1087" t="s">
        <v>412</v>
      </c>
      <c r="H1087" t="s">
        <v>879</v>
      </c>
    </row>
    <row r="1088" spans="1:8">
      <c r="A1088" t="s">
        <v>164</v>
      </c>
      <c r="B1088">
        <v>2022</v>
      </c>
      <c r="C1088" t="s">
        <v>7</v>
      </c>
      <c r="D1088">
        <v>0.24</v>
      </c>
      <c r="E1088" t="s">
        <v>411</v>
      </c>
      <c r="F1088" t="s">
        <v>63</v>
      </c>
      <c r="G1088" t="s">
        <v>412</v>
      </c>
      <c r="H1088" t="s">
        <v>879</v>
      </c>
    </row>
    <row r="1089" spans="1:8">
      <c r="A1089" t="s">
        <v>140</v>
      </c>
      <c r="B1089">
        <v>2022</v>
      </c>
      <c r="C1089" t="s">
        <v>7</v>
      </c>
      <c r="D1089">
        <v>0</v>
      </c>
      <c r="E1089" t="s">
        <v>411</v>
      </c>
      <c r="F1089" t="s">
        <v>63</v>
      </c>
      <c r="G1089" t="s">
        <v>412</v>
      </c>
      <c r="H1089" t="s">
        <v>879</v>
      </c>
    </row>
    <row r="1090" spans="1:8">
      <c r="A1090" t="s">
        <v>165</v>
      </c>
      <c r="B1090">
        <v>2022</v>
      </c>
      <c r="C1090" t="s">
        <v>7</v>
      </c>
      <c r="D1090">
        <v>1.03</v>
      </c>
      <c r="E1090" t="s">
        <v>411</v>
      </c>
      <c r="F1090" t="s">
        <v>63</v>
      </c>
      <c r="G1090" t="s">
        <v>412</v>
      </c>
      <c r="H1090" t="s">
        <v>879</v>
      </c>
    </row>
    <row r="1091" spans="1:8">
      <c r="A1091" t="s">
        <v>122</v>
      </c>
      <c r="B1091">
        <v>2023</v>
      </c>
      <c r="C1091" t="s">
        <v>7</v>
      </c>
      <c r="D1091">
        <v>0.92</v>
      </c>
      <c r="E1091" t="s">
        <v>411</v>
      </c>
      <c r="F1091" t="s">
        <v>63</v>
      </c>
      <c r="G1091" t="s">
        <v>412</v>
      </c>
      <c r="H1091" t="s">
        <v>879</v>
      </c>
    </row>
    <row r="1092" spans="1:8">
      <c r="A1092" t="s">
        <v>123</v>
      </c>
      <c r="B1092">
        <v>2023</v>
      </c>
      <c r="C1092" t="s">
        <v>7</v>
      </c>
      <c r="D1092">
        <v>4.3099999999999996</v>
      </c>
      <c r="E1092" t="s">
        <v>411</v>
      </c>
      <c r="F1092" t="s">
        <v>63</v>
      </c>
      <c r="G1092" t="s">
        <v>412</v>
      </c>
      <c r="H1092" t="s">
        <v>879</v>
      </c>
    </row>
    <row r="1093" spans="1:8">
      <c r="A1093" t="s">
        <v>164</v>
      </c>
      <c r="B1093">
        <v>2023</v>
      </c>
      <c r="C1093" t="s">
        <v>7</v>
      </c>
      <c r="D1093">
        <v>0.24</v>
      </c>
      <c r="E1093" t="s">
        <v>411</v>
      </c>
      <c r="F1093" t="s">
        <v>63</v>
      </c>
      <c r="G1093" t="s">
        <v>412</v>
      </c>
      <c r="H1093" t="s">
        <v>879</v>
      </c>
    </row>
    <row r="1094" spans="1:8">
      <c r="A1094" t="s">
        <v>140</v>
      </c>
      <c r="B1094">
        <v>2023</v>
      </c>
      <c r="C1094" t="s">
        <v>7</v>
      </c>
      <c r="D1094">
        <v>0</v>
      </c>
      <c r="E1094" t="s">
        <v>411</v>
      </c>
      <c r="F1094" t="s">
        <v>63</v>
      </c>
      <c r="G1094" t="s">
        <v>412</v>
      </c>
      <c r="H1094" t="s">
        <v>879</v>
      </c>
    </row>
    <row r="1095" spans="1:8">
      <c r="A1095" t="s">
        <v>165</v>
      </c>
      <c r="B1095">
        <v>2023</v>
      </c>
      <c r="C1095" t="s">
        <v>7</v>
      </c>
      <c r="D1095">
        <v>0.41</v>
      </c>
      <c r="E1095" t="s">
        <v>411</v>
      </c>
      <c r="F1095" t="s">
        <v>63</v>
      </c>
      <c r="G1095" t="s">
        <v>412</v>
      </c>
      <c r="H1095" t="s">
        <v>879</v>
      </c>
    </row>
    <row r="1096" spans="1:8">
      <c r="A1096" t="s">
        <v>122</v>
      </c>
      <c r="B1096">
        <v>2024</v>
      </c>
      <c r="C1096" t="s">
        <v>7</v>
      </c>
      <c r="D1096">
        <v>0.92</v>
      </c>
      <c r="E1096" t="s">
        <v>411</v>
      </c>
      <c r="F1096" t="s">
        <v>63</v>
      </c>
      <c r="G1096" t="s">
        <v>412</v>
      </c>
      <c r="H1096" t="s">
        <v>879</v>
      </c>
    </row>
    <row r="1097" spans="1:8">
      <c r="A1097" t="s">
        <v>123</v>
      </c>
      <c r="B1097">
        <v>2024</v>
      </c>
      <c r="C1097" t="s">
        <v>7</v>
      </c>
      <c r="D1097">
        <v>4.76</v>
      </c>
      <c r="E1097" t="s">
        <v>411</v>
      </c>
      <c r="F1097" t="s">
        <v>63</v>
      </c>
      <c r="G1097" t="s">
        <v>412</v>
      </c>
      <c r="H1097" t="s">
        <v>879</v>
      </c>
    </row>
    <row r="1098" spans="1:8">
      <c r="A1098" t="s">
        <v>164</v>
      </c>
      <c r="B1098">
        <v>2024</v>
      </c>
      <c r="C1098" t="s">
        <v>7</v>
      </c>
      <c r="D1098">
        <v>0.24</v>
      </c>
      <c r="E1098" t="s">
        <v>411</v>
      </c>
      <c r="F1098" t="s">
        <v>63</v>
      </c>
      <c r="G1098" t="s">
        <v>412</v>
      </c>
      <c r="H1098" t="s">
        <v>879</v>
      </c>
    </row>
    <row r="1099" spans="1:8">
      <c r="A1099" t="s">
        <v>140</v>
      </c>
      <c r="B1099">
        <v>2024</v>
      </c>
      <c r="C1099" t="s">
        <v>7</v>
      </c>
      <c r="D1099">
        <v>0</v>
      </c>
      <c r="E1099" t="s">
        <v>411</v>
      </c>
      <c r="F1099" t="s">
        <v>63</v>
      </c>
      <c r="G1099" t="s">
        <v>412</v>
      </c>
      <c r="H1099" t="s">
        <v>879</v>
      </c>
    </row>
    <row r="1100" spans="1:8">
      <c r="A1100" t="s">
        <v>165</v>
      </c>
      <c r="B1100">
        <v>2024</v>
      </c>
      <c r="C1100" t="s">
        <v>7</v>
      </c>
      <c r="D1100">
        <v>0.68</v>
      </c>
      <c r="E1100" t="s">
        <v>411</v>
      </c>
      <c r="F1100" t="s">
        <v>63</v>
      </c>
      <c r="G1100" t="s">
        <v>412</v>
      </c>
      <c r="H1100" t="s">
        <v>879</v>
      </c>
    </row>
    <row r="1101" spans="1:8">
      <c r="A1101" t="s">
        <v>122</v>
      </c>
      <c r="B1101">
        <v>2025</v>
      </c>
      <c r="C1101" t="s">
        <v>7</v>
      </c>
      <c r="D1101">
        <v>0</v>
      </c>
      <c r="E1101" t="s">
        <v>411</v>
      </c>
      <c r="F1101" t="s">
        <v>63</v>
      </c>
      <c r="G1101" t="s">
        <v>412</v>
      </c>
      <c r="H1101" t="s">
        <v>879</v>
      </c>
    </row>
    <row r="1102" spans="1:8">
      <c r="A1102" t="s">
        <v>123</v>
      </c>
      <c r="B1102">
        <v>2025</v>
      </c>
      <c r="C1102" t="s">
        <v>7</v>
      </c>
      <c r="D1102">
        <v>4.88</v>
      </c>
      <c r="E1102" t="s">
        <v>411</v>
      </c>
      <c r="F1102" t="s">
        <v>63</v>
      </c>
      <c r="G1102" t="s">
        <v>412</v>
      </c>
      <c r="H1102" t="s">
        <v>879</v>
      </c>
    </row>
    <row r="1103" spans="1:8">
      <c r="A1103" t="s">
        <v>164</v>
      </c>
      <c r="B1103">
        <v>2025</v>
      </c>
      <c r="C1103" t="s">
        <v>7</v>
      </c>
      <c r="D1103">
        <v>0.24</v>
      </c>
      <c r="E1103" t="s">
        <v>411</v>
      </c>
      <c r="F1103" t="s">
        <v>63</v>
      </c>
      <c r="G1103" t="s">
        <v>412</v>
      </c>
      <c r="H1103" t="s">
        <v>879</v>
      </c>
    </row>
    <row r="1104" spans="1:8">
      <c r="A1104" t="s">
        <v>140</v>
      </c>
      <c r="B1104">
        <v>2025</v>
      </c>
      <c r="C1104" t="s">
        <v>7</v>
      </c>
      <c r="D1104">
        <v>0</v>
      </c>
      <c r="E1104" t="s">
        <v>411</v>
      </c>
      <c r="F1104" t="s">
        <v>63</v>
      </c>
      <c r="G1104" t="s">
        <v>412</v>
      </c>
      <c r="H1104" t="s">
        <v>879</v>
      </c>
    </row>
    <row r="1105" spans="1:8">
      <c r="A1105" t="s">
        <v>165</v>
      </c>
      <c r="B1105">
        <v>2025</v>
      </c>
      <c r="C1105" t="s">
        <v>7</v>
      </c>
      <c r="D1105">
        <v>1.59</v>
      </c>
      <c r="E1105" t="s">
        <v>411</v>
      </c>
      <c r="F1105" t="s">
        <v>63</v>
      </c>
      <c r="G1105" t="s">
        <v>412</v>
      </c>
      <c r="H1105" t="s">
        <v>879</v>
      </c>
    </row>
    <row r="1106" spans="1:8">
      <c r="A1106" t="s">
        <v>138</v>
      </c>
      <c r="B1106">
        <v>2000</v>
      </c>
      <c r="C1106" t="s">
        <v>222</v>
      </c>
      <c r="D1106">
        <v>0.02</v>
      </c>
      <c r="E1106" t="s">
        <v>411</v>
      </c>
      <c r="F1106" t="s">
        <v>116</v>
      </c>
      <c r="G1106" t="s">
        <v>412</v>
      </c>
      <c r="H1106" t="s">
        <v>879</v>
      </c>
    </row>
    <row r="1107" spans="1:8">
      <c r="A1107" t="s">
        <v>122</v>
      </c>
      <c r="B1107">
        <v>2000</v>
      </c>
      <c r="C1107" t="s">
        <v>222</v>
      </c>
      <c r="D1107">
        <v>6.56</v>
      </c>
      <c r="E1107" t="s">
        <v>411</v>
      </c>
      <c r="F1107" t="s">
        <v>116</v>
      </c>
      <c r="G1107" t="s">
        <v>412</v>
      </c>
      <c r="H1107" t="s">
        <v>879</v>
      </c>
    </row>
    <row r="1108" spans="1:8">
      <c r="A1108" t="s">
        <v>123</v>
      </c>
      <c r="B1108">
        <v>2000</v>
      </c>
      <c r="C1108" t="s">
        <v>222</v>
      </c>
      <c r="D1108">
        <v>4.17</v>
      </c>
      <c r="E1108" t="s">
        <v>411</v>
      </c>
      <c r="F1108" t="s">
        <v>116</v>
      </c>
      <c r="G1108" t="s">
        <v>412</v>
      </c>
      <c r="H1108" t="s">
        <v>879</v>
      </c>
    </row>
    <row r="1109" spans="1:8">
      <c r="A1109" t="s">
        <v>164</v>
      </c>
      <c r="B1109">
        <v>2000</v>
      </c>
      <c r="C1109" t="s">
        <v>222</v>
      </c>
      <c r="D1109">
        <v>0.02</v>
      </c>
      <c r="E1109" t="s">
        <v>411</v>
      </c>
      <c r="F1109" t="s">
        <v>116</v>
      </c>
      <c r="G1109" t="s">
        <v>412</v>
      </c>
      <c r="H1109" t="s">
        <v>879</v>
      </c>
    </row>
    <row r="1110" spans="1:8">
      <c r="A1110" t="s">
        <v>140</v>
      </c>
      <c r="B1110">
        <v>2000</v>
      </c>
      <c r="C1110" t="s">
        <v>222</v>
      </c>
      <c r="D1110">
        <v>0</v>
      </c>
      <c r="E1110" t="s">
        <v>411</v>
      </c>
      <c r="F1110" t="s">
        <v>116</v>
      </c>
      <c r="G1110" t="s">
        <v>412</v>
      </c>
      <c r="H1110" t="s">
        <v>879</v>
      </c>
    </row>
    <row r="1111" spans="1:8">
      <c r="A1111" t="s">
        <v>165</v>
      </c>
      <c r="B1111">
        <v>2000</v>
      </c>
      <c r="C1111" t="s">
        <v>222</v>
      </c>
      <c r="D1111">
        <v>4.18</v>
      </c>
      <c r="E1111" t="s">
        <v>411</v>
      </c>
      <c r="F1111" t="s">
        <v>116</v>
      </c>
      <c r="G1111" t="s">
        <v>412</v>
      </c>
      <c r="H1111" t="s">
        <v>879</v>
      </c>
    </row>
    <row r="1112" spans="1:8">
      <c r="A1112" t="s">
        <v>138</v>
      </c>
      <c r="B1112">
        <v>2000</v>
      </c>
      <c r="C1112" t="s">
        <v>222</v>
      </c>
      <c r="D1112">
        <v>0</v>
      </c>
      <c r="E1112" t="s">
        <v>411</v>
      </c>
      <c r="F1112" t="s">
        <v>116</v>
      </c>
      <c r="G1112" t="s">
        <v>412</v>
      </c>
      <c r="H1112" t="s">
        <v>879</v>
      </c>
    </row>
    <row r="1113" spans="1:8">
      <c r="A1113" t="s">
        <v>166</v>
      </c>
      <c r="B1113">
        <v>2000</v>
      </c>
      <c r="C1113" t="s">
        <v>222</v>
      </c>
      <c r="D1113">
        <v>0</v>
      </c>
      <c r="E1113" t="s">
        <v>411</v>
      </c>
      <c r="F1113" t="s">
        <v>116</v>
      </c>
      <c r="G1113" t="s">
        <v>414</v>
      </c>
      <c r="H1113" t="s">
        <v>879</v>
      </c>
    </row>
    <row r="1114" spans="1:8">
      <c r="A1114" t="s">
        <v>167</v>
      </c>
      <c r="B1114">
        <v>2000</v>
      </c>
      <c r="C1114" t="s">
        <v>222</v>
      </c>
      <c r="D1114">
        <v>0</v>
      </c>
      <c r="E1114" t="s">
        <v>411</v>
      </c>
      <c r="F1114" t="s">
        <v>116</v>
      </c>
      <c r="G1114" t="s">
        <v>414</v>
      </c>
      <c r="H1114" t="s">
        <v>879</v>
      </c>
    </row>
    <row r="1115" spans="1:8">
      <c r="A1115" t="s">
        <v>138</v>
      </c>
      <c r="B1115">
        <v>2001</v>
      </c>
      <c r="C1115" t="s">
        <v>222</v>
      </c>
      <c r="D1115">
        <v>0.02</v>
      </c>
      <c r="E1115" t="s">
        <v>411</v>
      </c>
      <c r="F1115" t="s">
        <v>116</v>
      </c>
      <c r="G1115" t="s">
        <v>412</v>
      </c>
      <c r="H1115" t="s">
        <v>879</v>
      </c>
    </row>
    <row r="1116" spans="1:8">
      <c r="A1116" t="s">
        <v>122</v>
      </c>
      <c r="B1116">
        <v>2001</v>
      </c>
      <c r="C1116" t="s">
        <v>222</v>
      </c>
      <c r="D1116">
        <v>6.79</v>
      </c>
      <c r="E1116" t="s">
        <v>411</v>
      </c>
      <c r="F1116" t="s">
        <v>116</v>
      </c>
      <c r="G1116" t="s">
        <v>412</v>
      </c>
      <c r="H1116" t="s">
        <v>879</v>
      </c>
    </row>
    <row r="1117" spans="1:8">
      <c r="A1117" t="s">
        <v>123</v>
      </c>
      <c r="B1117">
        <v>2001</v>
      </c>
      <c r="C1117" t="s">
        <v>222</v>
      </c>
      <c r="D1117">
        <v>4.12</v>
      </c>
      <c r="E1117" t="s">
        <v>411</v>
      </c>
      <c r="F1117" t="s">
        <v>116</v>
      </c>
      <c r="G1117" t="s">
        <v>412</v>
      </c>
      <c r="H1117" t="s">
        <v>879</v>
      </c>
    </row>
    <row r="1118" spans="1:8">
      <c r="A1118" t="s">
        <v>164</v>
      </c>
      <c r="B1118">
        <v>2001</v>
      </c>
      <c r="C1118" t="s">
        <v>222</v>
      </c>
      <c r="D1118">
        <v>0.01</v>
      </c>
      <c r="E1118" t="s">
        <v>411</v>
      </c>
      <c r="F1118" t="s">
        <v>116</v>
      </c>
      <c r="G1118" t="s">
        <v>412</v>
      </c>
      <c r="H1118" t="s">
        <v>879</v>
      </c>
    </row>
    <row r="1119" spans="1:8">
      <c r="A1119" t="s">
        <v>140</v>
      </c>
      <c r="B1119">
        <v>2001</v>
      </c>
      <c r="C1119" t="s">
        <v>222</v>
      </c>
      <c r="D1119">
        <v>0</v>
      </c>
      <c r="E1119" t="s">
        <v>411</v>
      </c>
      <c r="F1119" t="s">
        <v>116</v>
      </c>
      <c r="G1119" t="s">
        <v>412</v>
      </c>
      <c r="H1119" t="s">
        <v>879</v>
      </c>
    </row>
    <row r="1120" spans="1:8">
      <c r="A1120" t="s">
        <v>165</v>
      </c>
      <c r="B1120">
        <v>2001</v>
      </c>
      <c r="C1120" t="s">
        <v>222</v>
      </c>
      <c r="D1120">
        <v>4.83</v>
      </c>
      <c r="E1120" t="s">
        <v>411</v>
      </c>
      <c r="F1120" t="s">
        <v>116</v>
      </c>
      <c r="G1120" t="s">
        <v>412</v>
      </c>
      <c r="H1120" t="s">
        <v>879</v>
      </c>
    </row>
    <row r="1121" spans="1:8">
      <c r="A1121" t="s">
        <v>138</v>
      </c>
      <c r="B1121">
        <v>2001</v>
      </c>
      <c r="C1121" t="s">
        <v>222</v>
      </c>
      <c r="D1121">
        <v>0</v>
      </c>
      <c r="E1121" t="s">
        <v>411</v>
      </c>
      <c r="F1121" t="s">
        <v>116</v>
      </c>
      <c r="G1121" t="s">
        <v>412</v>
      </c>
      <c r="H1121" t="s">
        <v>879</v>
      </c>
    </row>
    <row r="1122" spans="1:8">
      <c r="A1122" t="s">
        <v>166</v>
      </c>
      <c r="B1122">
        <v>2001</v>
      </c>
      <c r="C1122" t="s">
        <v>222</v>
      </c>
      <c r="D1122">
        <v>0</v>
      </c>
      <c r="E1122" t="s">
        <v>411</v>
      </c>
      <c r="F1122" t="s">
        <v>116</v>
      </c>
      <c r="G1122" t="s">
        <v>414</v>
      </c>
      <c r="H1122" t="s">
        <v>879</v>
      </c>
    </row>
    <row r="1123" spans="1:8">
      <c r="A1123" t="s">
        <v>167</v>
      </c>
      <c r="B1123">
        <v>2001</v>
      </c>
      <c r="C1123" t="s">
        <v>222</v>
      </c>
      <c r="D1123">
        <v>0</v>
      </c>
      <c r="E1123" t="s">
        <v>411</v>
      </c>
      <c r="F1123" t="s">
        <v>116</v>
      </c>
      <c r="G1123" t="s">
        <v>414</v>
      </c>
      <c r="H1123" t="s">
        <v>879</v>
      </c>
    </row>
    <row r="1124" spans="1:8">
      <c r="A1124" t="s">
        <v>138</v>
      </c>
      <c r="B1124">
        <v>2002</v>
      </c>
      <c r="C1124" t="s">
        <v>222</v>
      </c>
      <c r="D1124">
        <v>0.02</v>
      </c>
      <c r="E1124" t="s">
        <v>411</v>
      </c>
      <c r="F1124" t="s">
        <v>116</v>
      </c>
      <c r="G1124" t="s">
        <v>412</v>
      </c>
      <c r="H1124" t="s">
        <v>879</v>
      </c>
    </row>
    <row r="1125" spans="1:8">
      <c r="A1125" t="s">
        <v>122</v>
      </c>
      <c r="B1125">
        <v>2002</v>
      </c>
      <c r="C1125" t="s">
        <v>222</v>
      </c>
      <c r="D1125">
        <v>6.56</v>
      </c>
      <c r="E1125" t="s">
        <v>411</v>
      </c>
      <c r="F1125" t="s">
        <v>116</v>
      </c>
      <c r="G1125" t="s">
        <v>412</v>
      </c>
      <c r="H1125" t="s">
        <v>879</v>
      </c>
    </row>
    <row r="1126" spans="1:8">
      <c r="A1126" t="s">
        <v>123</v>
      </c>
      <c r="B1126">
        <v>2002</v>
      </c>
      <c r="C1126" t="s">
        <v>222</v>
      </c>
      <c r="D1126">
        <v>4.87</v>
      </c>
      <c r="E1126" t="s">
        <v>411</v>
      </c>
      <c r="F1126" t="s">
        <v>116</v>
      </c>
      <c r="G1126" t="s">
        <v>412</v>
      </c>
      <c r="H1126" t="s">
        <v>879</v>
      </c>
    </row>
    <row r="1127" spans="1:8">
      <c r="A1127" t="s">
        <v>164</v>
      </c>
      <c r="B1127">
        <v>2002</v>
      </c>
      <c r="C1127" t="s">
        <v>222</v>
      </c>
      <c r="D1127">
        <v>0.02</v>
      </c>
      <c r="E1127" t="s">
        <v>411</v>
      </c>
      <c r="F1127" t="s">
        <v>116</v>
      </c>
      <c r="G1127" t="s">
        <v>412</v>
      </c>
      <c r="H1127" t="s">
        <v>879</v>
      </c>
    </row>
    <row r="1128" spans="1:8">
      <c r="A1128" t="s">
        <v>140</v>
      </c>
      <c r="B1128">
        <v>2002</v>
      </c>
      <c r="C1128" t="s">
        <v>222</v>
      </c>
      <c r="D1128">
        <v>0</v>
      </c>
      <c r="E1128" t="s">
        <v>411</v>
      </c>
      <c r="F1128" t="s">
        <v>116</v>
      </c>
      <c r="G1128" t="s">
        <v>412</v>
      </c>
      <c r="H1128" t="s">
        <v>879</v>
      </c>
    </row>
    <row r="1129" spans="1:8">
      <c r="A1129" t="s">
        <v>165</v>
      </c>
      <c r="B1129">
        <v>2002</v>
      </c>
      <c r="C1129" t="s">
        <v>222</v>
      </c>
      <c r="D1129">
        <v>3.8</v>
      </c>
      <c r="E1129" t="s">
        <v>411</v>
      </c>
      <c r="F1129" t="s">
        <v>116</v>
      </c>
      <c r="G1129" t="s">
        <v>412</v>
      </c>
      <c r="H1129" t="s">
        <v>879</v>
      </c>
    </row>
    <row r="1130" spans="1:8">
      <c r="A1130" t="s">
        <v>138</v>
      </c>
      <c r="B1130">
        <v>2002</v>
      </c>
      <c r="C1130" t="s">
        <v>222</v>
      </c>
      <c r="D1130">
        <v>0</v>
      </c>
      <c r="E1130" t="s">
        <v>411</v>
      </c>
      <c r="F1130" t="s">
        <v>116</v>
      </c>
      <c r="G1130" t="s">
        <v>412</v>
      </c>
      <c r="H1130" t="s">
        <v>879</v>
      </c>
    </row>
    <row r="1131" spans="1:8">
      <c r="A1131" t="s">
        <v>166</v>
      </c>
      <c r="B1131">
        <v>2002</v>
      </c>
      <c r="C1131" t="s">
        <v>222</v>
      </c>
      <c r="D1131">
        <v>0</v>
      </c>
      <c r="E1131" t="s">
        <v>411</v>
      </c>
      <c r="F1131" t="s">
        <v>116</v>
      </c>
      <c r="G1131" t="s">
        <v>414</v>
      </c>
      <c r="H1131" t="s">
        <v>879</v>
      </c>
    </row>
    <row r="1132" spans="1:8">
      <c r="A1132" t="s">
        <v>167</v>
      </c>
      <c r="B1132">
        <v>2002</v>
      </c>
      <c r="C1132" t="s">
        <v>222</v>
      </c>
      <c r="D1132">
        <v>0</v>
      </c>
      <c r="E1132" t="s">
        <v>411</v>
      </c>
      <c r="F1132" t="s">
        <v>116</v>
      </c>
      <c r="G1132" t="s">
        <v>414</v>
      </c>
      <c r="H1132" t="s">
        <v>879</v>
      </c>
    </row>
    <row r="1133" spans="1:8">
      <c r="A1133" t="s">
        <v>138</v>
      </c>
      <c r="B1133">
        <v>2003</v>
      </c>
      <c r="C1133" t="s">
        <v>222</v>
      </c>
      <c r="D1133">
        <v>0.02</v>
      </c>
      <c r="E1133" t="s">
        <v>411</v>
      </c>
      <c r="F1133" t="s">
        <v>116</v>
      </c>
      <c r="G1133" t="s">
        <v>412</v>
      </c>
      <c r="H1133" t="s">
        <v>879</v>
      </c>
    </row>
    <row r="1134" spans="1:8">
      <c r="A1134" t="s">
        <v>122</v>
      </c>
      <c r="B1134">
        <v>2003</v>
      </c>
      <c r="C1134" t="s">
        <v>222</v>
      </c>
      <c r="D1134">
        <v>5.96</v>
      </c>
      <c r="E1134" t="s">
        <v>411</v>
      </c>
      <c r="F1134" t="s">
        <v>116</v>
      </c>
      <c r="G1134" t="s">
        <v>412</v>
      </c>
      <c r="H1134" t="s">
        <v>879</v>
      </c>
    </row>
    <row r="1135" spans="1:8">
      <c r="A1135" t="s">
        <v>123</v>
      </c>
      <c r="B1135">
        <v>2003</v>
      </c>
      <c r="C1135" t="s">
        <v>222</v>
      </c>
      <c r="D1135">
        <v>5.87</v>
      </c>
      <c r="E1135" t="s">
        <v>411</v>
      </c>
      <c r="F1135" t="s">
        <v>116</v>
      </c>
      <c r="G1135" t="s">
        <v>412</v>
      </c>
      <c r="H1135" t="s">
        <v>879</v>
      </c>
    </row>
    <row r="1136" spans="1:8">
      <c r="A1136" t="s">
        <v>164</v>
      </c>
      <c r="B1136">
        <v>2003</v>
      </c>
      <c r="C1136" t="s">
        <v>222</v>
      </c>
      <c r="D1136">
        <v>0.01</v>
      </c>
      <c r="E1136" t="s">
        <v>411</v>
      </c>
      <c r="F1136" t="s">
        <v>116</v>
      </c>
      <c r="G1136" t="s">
        <v>412</v>
      </c>
      <c r="H1136" t="s">
        <v>879</v>
      </c>
    </row>
    <row r="1137" spans="1:8">
      <c r="A1137" t="s">
        <v>140</v>
      </c>
      <c r="B1137">
        <v>2003</v>
      </c>
      <c r="C1137" t="s">
        <v>222</v>
      </c>
      <c r="D1137">
        <v>0</v>
      </c>
      <c r="E1137" t="s">
        <v>411</v>
      </c>
      <c r="F1137" t="s">
        <v>116</v>
      </c>
      <c r="G1137" t="s">
        <v>412</v>
      </c>
      <c r="H1137" t="s">
        <v>879</v>
      </c>
    </row>
    <row r="1138" spans="1:8">
      <c r="A1138" t="s">
        <v>165</v>
      </c>
      <c r="B1138">
        <v>2003</v>
      </c>
      <c r="C1138" t="s">
        <v>222</v>
      </c>
      <c r="D1138">
        <v>2.92</v>
      </c>
      <c r="E1138" t="s">
        <v>411</v>
      </c>
      <c r="F1138" t="s">
        <v>116</v>
      </c>
      <c r="G1138" t="s">
        <v>412</v>
      </c>
      <c r="H1138" t="s">
        <v>879</v>
      </c>
    </row>
    <row r="1139" spans="1:8">
      <c r="A1139" t="s">
        <v>138</v>
      </c>
      <c r="B1139">
        <v>2003</v>
      </c>
      <c r="C1139" t="s">
        <v>222</v>
      </c>
      <c r="D1139">
        <v>0</v>
      </c>
      <c r="E1139" t="s">
        <v>411</v>
      </c>
      <c r="F1139" t="s">
        <v>116</v>
      </c>
      <c r="G1139" t="s">
        <v>412</v>
      </c>
      <c r="H1139" t="s">
        <v>879</v>
      </c>
    </row>
    <row r="1140" spans="1:8">
      <c r="A1140" t="s">
        <v>166</v>
      </c>
      <c r="B1140">
        <v>2003</v>
      </c>
      <c r="C1140" t="s">
        <v>222</v>
      </c>
      <c r="D1140">
        <v>0</v>
      </c>
      <c r="E1140" t="s">
        <v>411</v>
      </c>
      <c r="F1140" t="s">
        <v>116</v>
      </c>
      <c r="G1140" t="s">
        <v>414</v>
      </c>
      <c r="H1140" t="s">
        <v>879</v>
      </c>
    </row>
    <row r="1141" spans="1:8">
      <c r="A1141" t="s">
        <v>167</v>
      </c>
      <c r="B1141">
        <v>2003</v>
      </c>
      <c r="C1141" t="s">
        <v>222</v>
      </c>
      <c r="D1141">
        <v>0.01</v>
      </c>
      <c r="E1141" t="s">
        <v>411</v>
      </c>
      <c r="F1141" t="s">
        <v>116</v>
      </c>
      <c r="G1141" t="s">
        <v>414</v>
      </c>
      <c r="H1141" t="s">
        <v>879</v>
      </c>
    </row>
    <row r="1142" spans="1:8">
      <c r="A1142" t="s">
        <v>138</v>
      </c>
      <c r="B1142">
        <v>2004</v>
      </c>
      <c r="C1142" t="s">
        <v>222</v>
      </c>
      <c r="D1142">
        <v>0.02</v>
      </c>
      <c r="E1142" t="s">
        <v>411</v>
      </c>
      <c r="F1142" t="s">
        <v>116</v>
      </c>
      <c r="G1142" t="s">
        <v>412</v>
      </c>
      <c r="H1142" t="s">
        <v>879</v>
      </c>
    </row>
    <row r="1143" spans="1:8">
      <c r="A1143" t="s">
        <v>122</v>
      </c>
      <c r="B1143">
        <v>2004</v>
      </c>
      <c r="C1143" t="s">
        <v>222</v>
      </c>
      <c r="D1143">
        <v>5.99</v>
      </c>
      <c r="E1143" t="s">
        <v>411</v>
      </c>
      <c r="F1143" t="s">
        <v>116</v>
      </c>
      <c r="G1143" t="s">
        <v>412</v>
      </c>
      <c r="H1143" t="s">
        <v>879</v>
      </c>
    </row>
    <row r="1144" spans="1:8">
      <c r="A1144" t="s">
        <v>123</v>
      </c>
      <c r="B1144">
        <v>2004</v>
      </c>
      <c r="C1144" t="s">
        <v>222</v>
      </c>
      <c r="D1144">
        <v>5.8</v>
      </c>
      <c r="E1144" t="s">
        <v>411</v>
      </c>
      <c r="F1144" t="s">
        <v>116</v>
      </c>
      <c r="G1144" t="s">
        <v>412</v>
      </c>
      <c r="H1144" t="s">
        <v>879</v>
      </c>
    </row>
    <row r="1145" spans="1:8">
      <c r="A1145" t="s">
        <v>164</v>
      </c>
      <c r="B1145">
        <v>2004</v>
      </c>
      <c r="C1145" t="s">
        <v>222</v>
      </c>
      <c r="D1145">
        <v>0.01</v>
      </c>
      <c r="E1145" t="s">
        <v>411</v>
      </c>
      <c r="F1145" t="s">
        <v>116</v>
      </c>
      <c r="G1145" t="s">
        <v>412</v>
      </c>
      <c r="H1145" t="s">
        <v>879</v>
      </c>
    </row>
    <row r="1146" spans="1:8">
      <c r="A1146" t="s">
        <v>140</v>
      </c>
      <c r="B1146">
        <v>2004</v>
      </c>
      <c r="C1146" t="s">
        <v>222</v>
      </c>
      <c r="D1146">
        <v>0</v>
      </c>
      <c r="E1146" t="s">
        <v>411</v>
      </c>
      <c r="F1146" t="s">
        <v>116</v>
      </c>
      <c r="G1146" t="s">
        <v>412</v>
      </c>
      <c r="H1146" t="s">
        <v>879</v>
      </c>
    </row>
    <row r="1147" spans="1:8">
      <c r="A1147" t="s">
        <v>165</v>
      </c>
      <c r="B1147">
        <v>2004</v>
      </c>
      <c r="C1147" t="s">
        <v>222</v>
      </c>
      <c r="D1147">
        <v>3.07</v>
      </c>
      <c r="E1147" t="s">
        <v>411</v>
      </c>
      <c r="F1147" t="s">
        <v>116</v>
      </c>
      <c r="G1147" t="s">
        <v>412</v>
      </c>
      <c r="H1147" t="s">
        <v>879</v>
      </c>
    </row>
    <row r="1148" spans="1:8">
      <c r="A1148" t="s">
        <v>138</v>
      </c>
      <c r="B1148">
        <v>2004</v>
      </c>
      <c r="C1148" t="s">
        <v>222</v>
      </c>
      <c r="D1148">
        <v>0</v>
      </c>
      <c r="E1148" t="s">
        <v>411</v>
      </c>
      <c r="F1148" t="s">
        <v>116</v>
      </c>
      <c r="G1148" t="s">
        <v>412</v>
      </c>
      <c r="H1148" t="s">
        <v>879</v>
      </c>
    </row>
    <row r="1149" spans="1:8">
      <c r="A1149" t="s">
        <v>166</v>
      </c>
      <c r="B1149">
        <v>2004</v>
      </c>
      <c r="C1149" t="s">
        <v>222</v>
      </c>
      <c r="D1149">
        <v>0</v>
      </c>
      <c r="E1149" t="s">
        <v>411</v>
      </c>
      <c r="F1149" t="s">
        <v>116</v>
      </c>
      <c r="G1149" t="s">
        <v>414</v>
      </c>
      <c r="H1149" t="s">
        <v>879</v>
      </c>
    </row>
    <row r="1150" spans="1:8">
      <c r="A1150" t="s">
        <v>167</v>
      </c>
      <c r="B1150">
        <v>2004</v>
      </c>
      <c r="C1150" t="s">
        <v>222</v>
      </c>
      <c r="D1150">
        <v>0.01</v>
      </c>
      <c r="E1150" t="s">
        <v>411</v>
      </c>
      <c r="F1150" t="s">
        <v>116</v>
      </c>
      <c r="G1150" t="s">
        <v>414</v>
      </c>
      <c r="H1150" t="s">
        <v>879</v>
      </c>
    </row>
    <row r="1151" spans="1:8">
      <c r="A1151" t="s">
        <v>138</v>
      </c>
      <c r="B1151">
        <v>2005</v>
      </c>
      <c r="C1151" t="s">
        <v>222</v>
      </c>
      <c r="D1151">
        <v>0.03</v>
      </c>
      <c r="E1151" t="s">
        <v>411</v>
      </c>
      <c r="F1151" t="s">
        <v>116</v>
      </c>
      <c r="G1151" t="s">
        <v>412</v>
      </c>
      <c r="H1151" t="s">
        <v>879</v>
      </c>
    </row>
    <row r="1152" spans="1:8">
      <c r="A1152" t="s">
        <v>122</v>
      </c>
      <c r="B1152">
        <v>2005</v>
      </c>
      <c r="C1152" t="s">
        <v>222</v>
      </c>
      <c r="D1152">
        <v>6.14</v>
      </c>
      <c r="E1152" t="s">
        <v>411</v>
      </c>
      <c r="F1152" t="s">
        <v>116</v>
      </c>
      <c r="G1152" t="s">
        <v>412</v>
      </c>
      <c r="H1152" t="s">
        <v>879</v>
      </c>
    </row>
    <row r="1153" spans="1:8">
      <c r="A1153" t="s">
        <v>123</v>
      </c>
      <c r="B1153">
        <v>2005</v>
      </c>
      <c r="C1153" t="s">
        <v>222</v>
      </c>
      <c r="D1153">
        <v>5.21</v>
      </c>
      <c r="E1153" t="s">
        <v>411</v>
      </c>
      <c r="F1153" t="s">
        <v>116</v>
      </c>
      <c r="G1153" t="s">
        <v>412</v>
      </c>
      <c r="H1153" t="s">
        <v>879</v>
      </c>
    </row>
    <row r="1154" spans="1:8">
      <c r="A1154" t="s">
        <v>164</v>
      </c>
      <c r="B1154">
        <v>2005</v>
      </c>
      <c r="C1154" t="s">
        <v>222</v>
      </c>
      <c r="D1154">
        <v>0.01</v>
      </c>
      <c r="E1154" t="s">
        <v>411</v>
      </c>
      <c r="F1154" t="s">
        <v>116</v>
      </c>
      <c r="G1154" t="s">
        <v>412</v>
      </c>
      <c r="H1154" t="s">
        <v>879</v>
      </c>
    </row>
    <row r="1155" spans="1:8">
      <c r="A1155" t="s">
        <v>140</v>
      </c>
      <c r="B1155">
        <v>2005</v>
      </c>
      <c r="C1155" t="s">
        <v>222</v>
      </c>
      <c r="D1155">
        <v>0</v>
      </c>
      <c r="E1155" t="s">
        <v>411</v>
      </c>
      <c r="F1155" t="s">
        <v>116</v>
      </c>
      <c r="G1155" t="s">
        <v>412</v>
      </c>
      <c r="H1155" t="s">
        <v>879</v>
      </c>
    </row>
    <row r="1156" spans="1:8">
      <c r="A1156" t="s">
        <v>165</v>
      </c>
      <c r="B1156">
        <v>2005</v>
      </c>
      <c r="C1156" t="s">
        <v>222</v>
      </c>
      <c r="D1156">
        <v>3.78</v>
      </c>
      <c r="E1156" t="s">
        <v>411</v>
      </c>
      <c r="F1156" t="s">
        <v>116</v>
      </c>
      <c r="G1156" t="s">
        <v>412</v>
      </c>
      <c r="H1156" t="s">
        <v>879</v>
      </c>
    </row>
    <row r="1157" spans="1:8">
      <c r="A1157" t="s">
        <v>138</v>
      </c>
      <c r="B1157">
        <v>2005</v>
      </c>
      <c r="C1157" t="s">
        <v>222</v>
      </c>
      <c r="D1157">
        <v>0</v>
      </c>
      <c r="E1157" t="s">
        <v>411</v>
      </c>
      <c r="F1157" t="s">
        <v>116</v>
      </c>
      <c r="G1157" t="s">
        <v>412</v>
      </c>
      <c r="H1157" t="s">
        <v>879</v>
      </c>
    </row>
    <row r="1158" spans="1:8">
      <c r="A1158" t="s">
        <v>166</v>
      </c>
      <c r="B1158">
        <v>2005</v>
      </c>
      <c r="C1158" t="s">
        <v>222</v>
      </c>
      <c r="D1158">
        <v>0</v>
      </c>
      <c r="E1158" t="s">
        <v>411</v>
      </c>
      <c r="F1158" t="s">
        <v>116</v>
      </c>
      <c r="G1158" t="s">
        <v>414</v>
      </c>
      <c r="H1158" t="s">
        <v>879</v>
      </c>
    </row>
    <row r="1159" spans="1:8">
      <c r="A1159" t="s">
        <v>167</v>
      </c>
      <c r="B1159">
        <v>2005</v>
      </c>
      <c r="C1159" t="s">
        <v>222</v>
      </c>
      <c r="D1159">
        <v>0.01</v>
      </c>
      <c r="E1159" t="s">
        <v>411</v>
      </c>
      <c r="F1159" t="s">
        <v>116</v>
      </c>
      <c r="G1159" t="s">
        <v>414</v>
      </c>
      <c r="H1159" t="s">
        <v>879</v>
      </c>
    </row>
    <row r="1160" spans="1:8">
      <c r="A1160" t="s">
        <v>138</v>
      </c>
      <c r="B1160">
        <v>2006</v>
      </c>
      <c r="C1160" t="s">
        <v>222</v>
      </c>
      <c r="D1160">
        <v>0.03</v>
      </c>
      <c r="E1160" t="s">
        <v>411</v>
      </c>
      <c r="F1160" t="s">
        <v>116</v>
      </c>
      <c r="G1160" t="s">
        <v>412</v>
      </c>
      <c r="H1160" t="s">
        <v>879</v>
      </c>
    </row>
    <row r="1161" spans="1:8">
      <c r="A1161" t="s">
        <v>122</v>
      </c>
      <c r="B1161">
        <v>2006</v>
      </c>
      <c r="C1161" t="s">
        <v>222</v>
      </c>
      <c r="D1161">
        <v>5.65</v>
      </c>
      <c r="E1161" t="s">
        <v>411</v>
      </c>
      <c r="F1161" t="s">
        <v>116</v>
      </c>
      <c r="G1161" t="s">
        <v>412</v>
      </c>
      <c r="H1161" t="s">
        <v>879</v>
      </c>
    </row>
    <row r="1162" spans="1:8">
      <c r="A1162" t="s">
        <v>123</v>
      </c>
      <c r="B1162">
        <v>2006</v>
      </c>
      <c r="C1162" t="s">
        <v>222</v>
      </c>
      <c r="D1162">
        <v>6.2</v>
      </c>
      <c r="E1162" t="s">
        <v>411</v>
      </c>
      <c r="F1162" t="s">
        <v>116</v>
      </c>
      <c r="G1162" t="s">
        <v>412</v>
      </c>
      <c r="H1162" t="s">
        <v>879</v>
      </c>
    </row>
    <row r="1163" spans="1:8">
      <c r="A1163" t="s">
        <v>164</v>
      </c>
      <c r="B1163">
        <v>2006</v>
      </c>
      <c r="C1163" t="s">
        <v>222</v>
      </c>
      <c r="D1163">
        <v>0.02</v>
      </c>
      <c r="E1163" t="s">
        <v>411</v>
      </c>
      <c r="F1163" t="s">
        <v>116</v>
      </c>
      <c r="G1163" t="s">
        <v>412</v>
      </c>
      <c r="H1163" t="s">
        <v>879</v>
      </c>
    </row>
    <row r="1164" spans="1:8">
      <c r="A1164" t="s">
        <v>140</v>
      </c>
      <c r="B1164">
        <v>2006</v>
      </c>
      <c r="C1164" t="s">
        <v>222</v>
      </c>
      <c r="D1164">
        <v>0</v>
      </c>
      <c r="E1164" t="s">
        <v>411</v>
      </c>
      <c r="F1164" t="s">
        <v>116</v>
      </c>
      <c r="G1164" t="s">
        <v>412</v>
      </c>
      <c r="H1164" t="s">
        <v>879</v>
      </c>
    </row>
    <row r="1165" spans="1:8">
      <c r="A1165" t="s">
        <v>165</v>
      </c>
      <c r="B1165">
        <v>2006</v>
      </c>
      <c r="C1165" t="s">
        <v>222</v>
      </c>
      <c r="D1165">
        <v>3.24</v>
      </c>
      <c r="E1165" t="s">
        <v>411</v>
      </c>
      <c r="F1165" t="s">
        <v>116</v>
      </c>
      <c r="G1165" t="s">
        <v>412</v>
      </c>
      <c r="H1165" t="s">
        <v>879</v>
      </c>
    </row>
    <row r="1166" spans="1:8">
      <c r="A1166" t="s">
        <v>138</v>
      </c>
      <c r="B1166">
        <v>2006</v>
      </c>
      <c r="C1166" t="s">
        <v>222</v>
      </c>
      <c r="D1166">
        <v>0</v>
      </c>
      <c r="E1166" t="s">
        <v>411</v>
      </c>
      <c r="F1166" t="s">
        <v>116</v>
      </c>
      <c r="G1166" t="s">
        <v>412</v>
      </c>
      <c r="H1166" t="s">
        <v>879</v>
      </c>
    </row>
    <row r="1167" spans="1:8">
      <c r="A1167" t="s">
        <v>166</v>
      </c>
      <c r="B1167">
        <v>2006</v>
      </c>
      <c r="C1167" t="s">
        <v>222</v>
      </c>
      <c r="D1167">
        <v>0</v>
      </c>
      <c r="E1167" t="s">
        <v>411</v>
      </c>
      <c r="F1167" t="s">
        <v>116</v>
      </c>
      <c r="G1167" t="s">
        <v>414</v>
      </c>
      <c r="H1167" t="s">
        <v>879</v>
      </c>
    </row>
    <row r="1168" spans="1:8">
      <c r="A1168" t="s">
        <v>167</v>
      </c>
      <c r="B1168">
        <v>2006</v>
      </c>
      <c r="C1168" t="s">
        <v>222</v>
      </c>
      <c r="D1168">
        <v>0.02</v>
      </c>
      <c r="E1168" t="s">
        <v>411</v>
      </c>
      <c r="F1168" t="s">
        <v>116</v>
      </c>
      <c r="G1168" t="s">
        <v>414</v>
      </c>
      <c r="H1168" t="s">
        <v>879</v>
      </c>
    </row>
    <row r="1169" spans="1:8">
      <c r="A1169" t="s">
        <v>138</v>
      </c>
      <c r="B1169">
        <v>2007</v>
      </c>
      <c r="C1169" t="s">
        <v>222</v>
      </c>
      <c r="D1169">
        <v>0.04</v>
      </c>
      <c r="E1169" t="s">
        <v>411</v>
      </c>
      <c r="F1169" t="s">
        <v>116</v>
      </c>
      <c r="G1169" t="s">
        <v>412</v>
      </c>
      <c r="H1169" t="s">
        <v>879</v>
      </c>
    </row>
    <row r="1170" spans="1:8">
      <c r="A1170" t="s">
        <v>122</v>
      </c>
      <c r="B1170">
        <v>2007</v>
      </c>
      <c r="C1170" t="s">
        <v>222</v>
      </c>
      <c r="D1170">
        <v>5.23</v>
      </c>
      <c r="E1170" t="s">
        <v>411</v>
      </c>
      <c r="F1170" t="s">
        <v>116</v>
      </c>
      <c r="G1170" t="s">
        <v>412</v>
      </c>
      <c r="H1170" t="s">
        <v>879</v>
      </c>
    </row>
    <row r="1171" spans="1:8">
      <c r="A1171" t="s">
        <v>123</v>
      </c>
      <c r="B1171">
        <v>2007</v>
      </c>
      <c r="C1171" t="s">
        <v>222</v>
      </c>
      <c r="D1171">
        <v>7.23</v>
      </c>
      <c r="E1171" t="s">
        <v>411</v>
      </c>
      <c r="F1171" t="s">
        <v>116</v>
      </c>
      <c r="G1171" t="s">
        <v>412</v>
      </c>
      <c r="H1171" t="s">
        <v>879</v>
      </c>
    </row>
    <row r="1172" spans="1:8">
      <c r="A1172" t="s">
        <v>164</v>
      </c>
      <c r="B1172">
        <v>2007</v>
      </c>
      <c r="C1172" t="s">
        <v>222</v>
      </c>
      <c r="D1172">
        <v>0.02</v>
      </c>
      <c r="E1172" t="s">
        <v>411</v>
      </c>
      <c r="F1172" t="s">
        <v>116</v>
      </c>
      <c r="G1172" t="s">
        <v>412</v>
      </c>
      <c r="H1172" t="s">
        <v>879</v>
      </c>
    </row>
    <row r="1173" spans="1:8">
      <c r="A1173" t="s">
        <v>140</v>
      </c>
      <c r="B1173">
        <v>2007</v>
      </c>
      <c r="C1173" t="s">
        <v>222</v>
      </c>
      <c r="D1173">
        <v>0</v>
      </c>
      <c r="E1173" t="s">
        <v>411</v>
      </c>
      <c r="F1173" t="s">
        <v>116</v>
      </c>
      <c r="G1173" t="s">
        <v>412</v>
      </c>
      <c r="H1173" t="s">
        <v>879</v>
      </c>
    </row>
    <row r="1174" spans="1:8">
      <c r="A1174" t="s">
        <v>165</v>
      </c>
      <c r="B1174">
        <v>2007</v>
      </c>
      <c r="C1174" t="s">
        <v>222</v>
      </c>
      <c r="D1174">
        <v>2.65</v>
      </c>
      <c r="E1174" t="s">
        <v>411</v>
      </c>
      <c r="F1174" t="s">
        <v>116</v>
      </c>
      <c r="G1174" t="s">
        <v>412</v>
      </c>
      <c r="H1174" t="s">
        <v>879</v>
      </c>
    </row>
    <row r="1175" spans="1:8">
      <c r="A1175" t="s">
        <v>138</v>
      </c>
      <c r="B1175">
        <v>2007</v>
      </c>
      <c r="C1175" t="s">
        <v>222</v>
      </c>
      <c r="D1175">
        <v>0</v>
      </c>
      <c r="E1175" t="s">
        <v>411</v>
      </c>
      <c r="F1175" t="s">
        <v>116</v>
      </c>
      <c r="G1175" t="s">
        <v>412</v>
      </c>
      <c r="H1175" t="s">
        <v>879</v>
      </c>
    </row>
    <row r="1176" spans="1:8">
      <c r="A1176" t="s">
        <v>166</v>
      </c>
      <c r="B1176">
        <v>2007</v>
      </c>
      <c r="C1176" t="s">
        <v>222</v>
      </c>
      <c r="D1176">
        <v>0</v>
      </c>
      <c r="E1176" t="s">
        <v>411</v>
      </c>
      <c r="F1176" t="s">
        <v>116</v>
      </c>
      <c r="G1176" t="s">
        <v>414</v>
      </c>
      <c r="H1176" t="s">
        <v>879</v>
      </c>
    </row>
    <row r="1177" spans="1:8">
      <c r="A1177" t="s">
        <v>167</v>
      </c>
      <c r="B1177">
        <v>2007</v>
      </c>
      <c r="C1177" t="s">
        <v>222</v>
      </c>
      <c r="D1177">
        <v>0.02</v>
      </c>
      <c r="E1177" t="s">
        <v>411</v>
      </c>
      <c r="F1177" t="s">
        <v>116</v>
      </c>
      <c r="G1177" t="s">
        <v>414</v>
      </c>
      <c r="H1177" t="s">
        <v>879</v>
      </c>
    </row>
    <row r="1178" spans="1:8">
      <c r="A1178" t="s">
        <v>138</v>
      </c>
      <c r="B1178">
        <v>2008</v>
      </c>
      <c r="C1178" t="s">
        <v>222</v>
      </c>
      <c r="D1178">
        <v>0.05</v>
      </c>
      <c r="E1178" t="s">
        <v>411</v>
      </c>
      <c r="F1178" t="s">
        <v>116</v>
      </c>
      <c r="G1178" t="s">
        <v>412</v>
      </c>
      <c r="H1178" t="s">
        <v>879</v>
      </c>
    </row>
    <row r="1179" spans="1:8">
      <c r="A1179" t="s">
        <v>122</v>
      </c>
      <c r="B1179">
        <v>2008</v>
      </c>
      <c r="C1179" t="s">
        <v>222</v>
      </c>
      <c r="D1179">
        <v>4.9400000000000004</v>
      </c>
      <c r="E1179" t="s">
        <v>411</v>
      </c>
      <c r="F1179" t="s">
        <v>116</v>
      </c>
      <c r="G1179" t="s">
        <v>412</v>
      </c>
      <c r="H1179" t="s">
        <v>879</v>
      </c>
    </row>
    <row r="1180" spans="1:8">
      <c r="A1180" t="s">
        <v>123</v>
      </c>
      <c r="B1180">
        <v>2008</v>
      </c>
      <c r="C1180" t="s">
        <v>222</v>
      </c>
      <c r="D1180">
        <v>7.52</v>
      </c>
      <c r="E1180" t="s">
        <v>411</v>
      </c>
      <c r="F1180" t="s">
        <v>116</v>
      </c>
      <c r="G1180" t="s">
        <v>412</v>
      </c>
      <c r="H1180" t="s">
        <v>879</v>
      </c>
    </row>
    <row r="1181" spans="1:8">
      <c r="A1181" t="s">
        <v>164</v>
      </c>
      <c r="B1181">
        <v>2008</v>
      </c>
      <c r="C1181" t="s">
        <v>222</v>
      </c>
      <c r="D1181">
        <v>0.02</v>
      </c>
      <c r="E1181" t="s">
        <v>411</v>
      </c>
      <c r="F1181" t="s">
        <v>116</v>
      </c>
      <c r="G1181" t="s">
        <v>412</v>
      </c>
      <c r="H1181" t="s">
        <v>879</v>
      </c>
    </row>
    <row r="1182" spans="1:8">
      <c r="A1182" t="s">
        <v>140</v>
      </c>
      <c r="B1182">
        <v>2008</v>
      </c>
      <c r="C1182" t="s">
        <v>222</v>
      </c>
      <c r="D1182">
        <v>0</v>
      </c>
      <c r="E1182" t="s">
        <v>411</v>
      </c>
      <c r="F1182" t="s">
        <v>116</v>
      </c>
      <c r="G1182" t="s">
        <v>412</v>
      </c>
      <c r="H1182" t="s">
        <v>879</v>
      </c>
    </row>
    <row r="1183" spans="1:8">
      <c r="A1183" t="s">
        <v>165</v>
      </c>
      <c r="B1183">
        <v>2008</v>
      </c>
      <c r="C1183" t="s">
        <v>222</v>
      </c>
      <c r="D1183">
        <v>2.91</v>
      </c>
      <c r="E1183" t="s">
        <v>411</v>
      </c>
      <c r="F1183" t="s">
        <v>116</v>
      </c>
      <c r="G1183" t="s">
        <v>412</v>
      </c>
      <c r="H1183" t="s">
        <v>879</v>
      </c>
    </row>
    <row r="1184" spans="1:8">
      <c r="A1184" t="s">
        <v>138</v>
      </c>
      <c r="B1184">
        <v>2008</v>
      </c>
      <c r="C1184" t="s">
        <v>222</v>
      </c>
      <c r="D1184">
        <v>0</v>
      </c>
      <c r="E1184" t="s">
        <v>411</v>
      </c>
      <c r="F1184" t="s">
        <v>116</v>
      </c>
      <c r="G1184" t="s">
        <v>412</v>
      </c>
      <c r="H1184" t="s">
        <v>879</v>
      </c>
    </row>
    <row r="1185" spans="1:8">
      <c r="A1185" t="s">
        <v>166</v>
      </c>
      <c r="B1185">
        <v>2008</v>
      </c>
      <c r="C1185" t="s">
        <v>222</v>
      </c>
      <c r="D1185">
        <v>0</v>
      </c>
      <c r="E1185" t="s">
        <v>411</v>
      </c>
      <c r="F1185" t="s">
        <v>116</v>
      </c>
      <c r="G1185" t="s">
        <v>414</v>
      </c>
      <c r="H1185" t="s">
        <v>879</v>
      </c>
    </row>
    <row r="1186" spans="1:8">
      <c r="A1186" t="s">
        <v>167</v>
      </c>
      <c r="B1186">
        <v>2008</v>
      </c>
      <c r="C1186" t="s">
        <v>222</v>
      </c>
      <c r="D1186">
        <v>0.03</v>
      </c>
      <c r="E1186" t="s">
        <v>411</v>
      </c>
      <c r="F1186" t="s">
        <v>116</v>
      </c>
      <c r="G1186" t="s">
        <v>414</v>
      </c>
      <c r="H1186" t="s">
        <v>879</v>
      </c>
    </row>
    <row r="1187" spans="1:8">
      <c r="A1187" t="s">
        <v>138</v>
      </c>
      <c r="B1187">
        <v>2009</v>
      </c>
      <c r="C1187" t="s">
        <v>222</v>
      </c>
      <c r="D1187">
        <v>0.06</v>
      </c>
      <c r="E1187" t="s">
        <v>411</v>
      </c>
      <c r="F1187" t="s">
        <v>116</v>
      </c>
      <c r="G1187" t="s">
        <v>412</v>
      </c>
      <c r="H1187" t="s">
        <v>879</v>
      </c>
    </row>
    <row r="1188" spans="1:8">
      <c r="A1188" t="s">
        <v>122</v>
      </c>
      <c r="B1188">
        <v>2009</v>
      </c>
      <c r="C1188" t="s">
        <v>222</v>
      </c>
      <c r="D1188">
        <v>3.85</v>
      </c>
      <c r="E1188" t="s">
        <v>411</v>
      </c>
      <c r="F1188" t="s">
        <v>116</v>
      </c>
      <c r="G1188" t="s">
        <v>412</v>
      </c>
      <c r="H1188" t="s">
        <v>879</v>
      </c>
    </row>
    <row r="1189" spans="1:8">
      <c r="A1189" t="s">
        <v>123</v>
      </c>
      <c r="B1189">
        <v>2009</v>
      </c>
      <c r="C1189" t="s">
        <v>222</v>
      </c>
      <c r="D1189">
        <v>7.33</v>
      </c>
      <c r="E1189" t="s">
        <v>411</v>
      </c>
      <c r="F1189" t="s">
        <v>116</v>
      </c>
      <c r="G1189" t="s">
        <v>412</v>
      </c>
      <c r="H1189" t="s">
        <v>879</v>
      </c>
    </row>
    <row r="1190" spans="1:8">
      <c r="A1190" t="s">
        <v>164</v>
      </c>
      <c r="B1190">
        <v>2009</v>
      </c>
      <c r="C1190" t="s">
        <v>222</v>
      </c>
      <c r="D1190">
        <v>0.02</v>
      </c>
      <c r="E1190" t="s">
        <v>411</v>
      </c>
      <c r="F1190" t="s">
        <v>116</v>
      </c>
      <c r="G1190" t="s">
        <v>412</v>
      </c>
      <c r="H1190" t="s">
        <v>879</v>
      </c>
    </row>
    <row r="1191" spans="1:8">
      <c r="A1191" t="s">
        <v>140</v>
      </c>
      <c r="B1191">
        <v>2009</v>
      </c>
      <c r="C1191" t="s">
        <v>222</v>
      </c>
      <c r="D1191">
        <v>0</v>
      </c>
      <c r="E1191" t="s">
        <v>411</v>
      </c>
      <c r="F1191" t="s">
        <v>116</v>
      </c>
      <c r="G1191" t="s">
        <v>412</v>
      </c>
      <c r="H1191" t="s">
        <v>879</v>
      </c>
    </row>
    <row r="1192" spans="1:8">
      <c r="A1192" t="s">
        <v>165</v>
      </c>
      <c r="B1192">
        <v>2009</v>
      </c>
      <c r="C1192" t="s">
        <v>222</v>
      </c>
      <c r="D1192">
        <v>2.3199999999999998</v>
      </c>
      <c r="E1192" t="s">
        <v>411</v>
      </c>
      <c r="F1192" t="s">
        <v>116</v>
      </c>
      <c r="G1192" t="s">
        <v>412</v>
      </c>
      <c r="H1192" t="s">
        <v>879</v>
      </c>
    </row>
    <row r="1193" spans="1:8">
      <c r="A1193" t="s">
        <v>138</v>
      </c>
      <c r="B1193">
        <v>2009</v>
      </c>
      <c r="C1193" t="s">
        <v>222</v>
      </c>
      <c r="D1193">
        <v>0</v>
      </c>
      <c r="E1193" t="s">
        <v>411</v>
      </c>
      <c r="F1193" t="s">
        <v>116</v>
      </c>
      <c r="G1193" t="s">
        <v>412</v>
      </c>
      <c r="H1193" t="s">
        <v>879</v>
      </c>
    </row>
    <row r="1194" spans="1:8">
      <c r="A1194" t="s">
        <v>166</v>
      </c>
      <c r="B1194">
        <v>2009</v>
      </c>
      <c r="C1194" t="s">
        <v>222</v>
      </c>
      <c r="D1194">
        <v>0</v>
      </c>
      <c r="E1194" t="s">
        <v>411</v>
      </c>
      <c r="F1194" t="s">
        <v>116</v>
      </c>
      <c r="G1194" t="s">
        <v>414</v>
      </c>
      <c r="H1194" t="s">
        <v>879</v>
      </c>
    </row>
    <row r="1195" spans="1:8">
      <c r="A1195" t="s">
        <v>167</v>
      </c>
      <c r="B1195">
        <v>2009</v>
      </c>
      <c r="C1195" t="s">
        <v>222</v>
      </c>
      <c r="D1195">
        <v>0.04</v>
      </c>
      <c r="E1195" t="s">
        <v>411</v>
      </c>
      <c r="F1195" t="s">
        <v>116</v>
      </c>
      <c r="G1195" t="s">
        <v>414</v>
      </c>
      <c r="H1195" t="s">
        <v>879</v>
      </c>
    </row>
    <row r="1196" spans="1:8">
      <c r="A1196" t="s">
        <v>138</v>
      </c>
      <c r="B1196">
        <v>2010</v>
      </c>
      <c r="C1196" t="s">
        <v>222</v>
      </c>
      <c r="D1196">
        <v>7.0000000000000007E-2</v>
      </c>
      <c r="E1196" t="s">
        <v>411</v>
      </c>
      <c r="F1196" t="s">
        <v>116</v>
      </c>
      <c r="G1196" t="s">
        <v>412</v>
      </c>
      <c r="H1196" t="s">
        <v>879</v>
      </c>
    </row>
    <row r="1197" spans="1:8">
      <c r="A1197" t="s">
        <v>122</v>
      </c>
      <c r="B1197">
        <v>2010</v>
      </c>
      <c r="C1197" t="s">
        <v>222</v>
      </c>
      <c r="D1197">
        <v>3.41</v>
      </c>
      <c r="E1197" t="s">
        <v>411</v>
      </c>
      <c r="F1197" t="s">
        <v>116</v>
      </c>
      <c r="G1197" t="s">
        <v>412</v>
      </c>
      <c r="H1197" t="s">
        <v>879</v>
      </c>
    </row>
    <row r="1198" spans="1:8">
      <c r="A1198" t="s">
        <v>123</v>
      </c>
      <c r="B1198">
        <v>2010</v>
      </c>
      <c r="C1198" t="s">
        <v>222</v>
      </c>
      <c r="D1198">
        <v>8.15</v>
      </c>
      <c r="E1198" t="s">
        <v>411</v>
      </c>
      <c r="F1198" t="s">
        <v>116</v>
      </c>
      <c r="G1198" t="s">
        <v>412</v>
      </c>
      <c r="H1198" t="s">
        <v>879</v>
      </c>
    </row>
    <row r="1199" spans="1:8">
      <c r="A1199" t="s">
        <v>164</v>
      </c>
      <c r="B1199">
        <v>2010</v>
      </c>
      <c r="C1199" t="s">
        <v>222</v>
      </c>
      <c r="D1199">
        <v>0.01</v>
      </c>
      <c r="E1199" t="s">
        <v>411</v>
      </c>
      <c r="F1199" t="s">
        <v>116</v>
      </c>
      <c r="G1199" t="s">
        <v>412</v>
      </c>
      <c r="H1199" t="s">
        <v>879</v>
      </c>
    </row>
    <row r="1200" spans="1:8">
      <c r="A1200" t="s">
        <v>140</v>
      </c>
      <c r="B1200">
        <v>2010</v>
      </c>
      <c r="C1200" t="s">
        <v>222</v>
      </c>
      <c r="D1200">
        <v>0</v>
      </c>
      <c r="E1200" t="s">
        <v>411</v>
      </c>
      <c r="F1200" t="s">
        <v>116</v>
      </c>
      <c r="G1200" t="s">
        <v>412</v>
      </c>
      <c r="H1200" t="s">
        <v>879</v>
      </c>
    </row>
    <row r="1201" spans="1:8">
      <c r="A1201" t="s">
        <v>165</v>
      </c>
      <c r="B1201">
        <v>2010</v>
      </c>
      <c r="C1201" t="s">
        <v>222</v>
      </c>
      <c r="D1201">
        <v>1.8</v>
      </c>
      <c r="E1201" t="s">
        <v>411</v>
      </c>
      <c r="F1201" t="s">
        <v>116</v>
      </c>
      <c r="G1201" t="s">
        <v>412</v>
      </c>
      <c r="H1201" t="s">
        <v>879</v>
      </c>
    </row>
    <row r="1202" spans="1:8">
      <c r="A1202" t="s">
        <v>138</v>
      </c>
      <c r="B1202">
        <v>2010</v>
      </c>
      <c r="C1202" t="s">
        <v>222</v>
      </c>
      <c r="D1202">
        <v>0</v>
      </c>
      <c r="E1202" t="s">
        <v>411</v>
      </c>
      <c r="F1202" t="s">
        <v>116</v>
      </c>
      <c r="G1202" t="s">
        <v>412</v>
      </c>
      <c r="H1202" t="s">
        <v>879</v>
      </c>
    </row>
    <row r="1203" spans="1:8">
      <c r="A1203" t="s">
        <v>166</v>
      </c>
      <c r="B1203">
        <v>2010</v>
      </c>
      <c r="C1203" t="s">
        <v>222</v>
      </c>
      <c r="D1203">
        <v>0</v>
      </c>
      <c r="E1203" t="s">
        <v>411</v>
      </c>
      <c r="F1203" t="s">
        <v>116</v>
      </c>
      <c r="G1203" t="s">
        <v>414</v>
      </c>
      <c r="H1203" t="s">
        <v>879</v>
      </c>
    </row>
    <row r="1204" spans="1:8">
      <c r="A1204" t="s">
        <v>167</v>
      </c>
      <c r="B1204">
        <v>2010</v>
      </c>
      <c r="C1204" t="s">
        <v>222</v>
      </c>
      <c r="D1204">
        <v>0.04</v>
      </c>
      <c r="E1204" t="s">
        <v>411</v>
      </c>
      <c r="F1204" t="s">
        <v>116</v>
      </c>
      <c r="G1204" t="s">
        <v>414</v>
      </c>
      <c r="H1204" t="s">
        <v>879</v>
      </c>
    </row>
    <row r="1205" spans="1:8">
      <c r="A1205" t="s">
        <v>138</v>
      </c>
      <c r="B1205">
        <v>2011</v>
      </c>
      <c r="C1205" t="s">
        <v>222</v>
      </c>
      <c r="D1205">
        <v>7.0000000000000007E-2</v>
      </c>
      <c r="E1205" t="s">
        <v>411</v>
      </c>
      <c r="F1205" t="s">
        <v>116</v>
      </c>
      <c r="G1205" t="s">
        <v>412</v>
      </c>
      <c r="H1205" t="s">
        <v>879</v>
      </c>
    </row>
    <row r="1206" spans="1:8">
      <c r="A1206" t="s">
        <v>122</v>
      </c>
      <c r="B1206">
        <v>2011</v>
      </c>
      <c r="C1206" t="s">
        <v>222</v>
      </c>
      <c r="D1206">
        <v>3.79</v>
      </c>
      <c r="E1206" t="s">
        <v>411</v>
      </c>
      <c r="F1206" t="s">
        <v>116</v>
      </c>
      <c r="G1206" t="s">
        <v>412</v>
      </c>
      <c r="H1206" t="s">
        <v>879</v>
      </c>
    </row>
    <row r="1207" spans="1:8">
      <c r="A1207" t="s">
        <v>123</v>
      </c>
      <c r="B1207">
        <v>2011</v>
      </c>
      <c r="C1207" t="s">
        <v>222</v>
      </c>
      <c r="D1207">
        <v>6.94</v>
      </c>
      <c r="E1207" t="s">
        <v>411</v>
      </c>
      <c r="F1207" t="s">
        <v>116</v>
      </c>
      <c r="G1207" t="s">
        <v>412</v>
      </c>
      <c r="H1207" t="s">
        <v>879</v>
      </c>
    </row>
    <row r="1208" spans="1:8">
      <c r="A1208" t="s">
        <v>164</v>
      </c>
      <c r="B1208">
        <v>2011</v>
      </c>
      <c r="C1208" t="s">
        <v>222</v>
      </c>
      <c r="D1208">
        <v>0.02</v>
      </c>
      <c r="E1208" t="s">
        <v>411</v>
      </c>
      <c r="F1208" t="s">
        <v>116</v>
      </c>
      <c r="G1208" t="s">
        <v>412</v>
      </c>
      <c r="H1208" t="s">
        <v>879</v>
      </c>
    </row>
    <row r="1209" spans="1:8">
      <c r="A1209" t="s">
        <v>140</v>
      </c>
      <c r="B1209">
        <v>2011</v>
      </c>
      <c r="C1209" t="s">
        <v>222</v>
      </c>
      <c r="D1209">
        <v>0</v>
      </c>
      <c r="E1209" t="s">
        <v>411</v>
      </c>
      <c r="F1209" t="s">
        <v>116</v>
      </c>
      <c r="G1209" t="s">
        <v>412</v>
      </c>
      <c r="H1209" t="s">
        <v>879</v>
      </c>
    </row>
    <row r="1210" spans="1:8">
      <c r="A1210" t="s">
        <v>165</v>
      </c>
      <c r="B1210">
        <v>2011</v>
      </c>
      <c r="C1210" t="s">
        <v>222</v>
      </c>
      <c r="D1210">
        <v>1.53</v>
      </c>
      <c r="E1210" t="s">
        <v>411</v>
      </c>
      <c r="F1210" t="s">
        <v>116</v>
      </c>
      <c r="G1210" t="s">
        <v>412</v>
      </c>
      <c r="H1210" t="s">
        <v>879</v>
      </c>
    </row>
    <row r="1211" spans="1:8">
      <c r="A1211" t="s">
        <v>138</v>
      </c>
      <c r="B1211">
        <v>2011</v>
      </c>
      <c r="C1211" t="s">
        <v>222</v>
      </c>
      <c r="D1211">
        <v>0</v>
      </c>
      <c r="E1211" t="s">
        <v>411</v>
      </c>
      <c r="F1211" t="s">
        <v>116</v>
      </c>
      <c r="G1211" t="s">
        <v>412</v>
      </c>
      <c r="H1211" t="s">
        <v>879</v>
      </c>
    </row>
    <row r="1212" spans="1:8">
      <c r="A1212" t="s">
        <v>166</v>
      </c>
      <c r="B1212">
        <v>2011</v>
      </c>
      <c r="C1212" t="s">
        <v>222</v>
      </c>
      <c r="D1212">
        <v>0</v>
      </c>
      <c r="E1212" t="s">
        <v>411</v>
      </c>
      <c r="F1212" t="s">
        <v>116</v>
      </c>
      <c r="G1212" t="s">
        <v>414</v>
      </c>
      <c r="H1212" t="s">
        <v>879</v>
      </c>
    </row>
    <row r="1213" spans="1:8">
      <c r="A1213" t="s">
        <v>167</v>
      </c>
      <c r="B1213">
        <v>2011</v>
      </c>
      <c r="C1213" t="s">
        <v>222</v>
      </c>
      <c r="D1213">
        <v>0.05</v>
      </c>
      <c r="E1213" t="s">
        <v>411</v>
      </c>
      <c r="F1213" t="s">
        <v>116</v>
      </c>
      <c r="G1213" t="s">
        <v>414</v>
      </c>
      <c r="H1213" t="s">
        <v>879</v>
      </c>
    </row>
    <row r="1214" spans="1:8">
      <c r="A1214" t="s">
        <v>138</v>
      </c>
      <c r="B1214">
        <v>2012</v>
      </c>
      <c r="C1214" t="s">
        <v>222</v>
      </c>
      <c r="D1214">
        <v>0.1</v>
      </c>
      <c r="E1214" t="s">
        <v>411</v>
      </c>
      <c r="F1214" t="s">
        <v>116</v>
      </c>
      <c r="G1214" t="s">
        <v>412</v>
      </c>
      <c r="H1214" t="s">
        <v>879</v>
      </c>
    </row>
    <row r="1215" spans="1:8">
      <c r="A1215" t="s">
        <v>122</v>
      </c>
      <c r="B1215">
        <v>2012</v>
      </c>
      <c r="C1215" t="s">
        <v>222</v>
      </c>
      <c r="D1215">
        <v>4.83</v>
      </c>
      <c r="E1215" t="s">
        <v>411</v>
      </c>
      <c r="F1215" t="s">
        <v>116</v>
      </c>
      <c r="G1215" t="s">
        <v>412</v>
      </c>
      <c r="H1215" t="s">
        <v>879</v>
      </c>
    </row>
    <row r="1216" spans="1:8">
      <c r="A1216" t="s">
        <v>123</v>
      </c>
      <c r="B1216">
        <v>2012</v>
      </c>
      <c r="C1216" t="s">
        <v>222</v>
      </c>
      <c r="D1216">
        <v>6.36</v>
      </c>
      <c r="E1216" t="s">
        <v>411</v>
      </c>
      <c r="F1216" t="s">
        <v>116</v>
      </c>
      <c r="G1216" t="s">
        <v>412</v>
      </c>
      <c r="H1216" t="s">
        <v>879</v>
      </c>
    </row>
    <row r="1217" spans="1:8">
      <c r="A1217" t="s">
        <v>164</v>
      </c>
      <c r="B1217">
        <v>2012</v>
      </c>
      <c r="C1217" t="s">
        <v>222</v>
      </c>
      <c r="D1217">
        <v>0.02</v>
      </c>
      <c r="E1217" t="s">
        <v>411</v>
      </c>
      <c r="F1217" t="s">
        <v>116</v>
      </c>
      <c r="G1217" t="s">
        <v>412</v>
      </c>
      <c r="H1217" t="s">
        <v>879</v>
      </c>
    </row>
    <row r="1218" spans="1:8">
      <c r="A1218" t="s">
        <v>140</v>
      </c>
      <c r="B1218">
        <v>2012</v>
      </c>
      <c r="C1218" t="s">
        <v>222</v>
      </c>
      <c r="D1218">
        <v>0</v>
      </c>
      <c r="E1218" t="s">
        <v>411</v>
      </c>
      <c r="F1218" t="s">
        <v>116</v>
      </c>
      <c r="G1218" t="s">
        <v>412</v>
      </c>
      <c r="H1218" t="s">
        <v>879</v>
      </c>
    </row>
    <row r="1219" spans="1:8">
      <c r="A1219" t="s">
        <v>165</v>
      </c>
      <c r="B1219">
        <v>2012</v>
      </c>
      <c r="C1219" t="s">
        <v>222</v>
      </c>
      <c r="D1219">
        <v>1.76</v>
      </c>
      <c r="E1219" t="s">
        <v>411</v>
      </c>
      <c r="F1219" t="s">
        <v>116</v>
      </c>
      <c r="G1219" t="s">
        <v>412</v>
      </c>
      <c r="H1219" t="s">
        <v>879</v>
      </c>
    </row>
    <row r="1220" spans="1:8">
      <c r="A1220" t="s">
        <v>138</v>
      </c>
      <c r="B1220">
        <v>2012</v>
      </c>
      <c r="C1220" t="s">
        <v>222</v>
      </c>
      <c r="D1220">
        <v>0</v>
      </c>
      <c r="E1220" t="s">
        <v>411</v>
      </c>
      <c r="F1220" t="s">
        <v>116</v>
      </c>
      <c r="G1220" t="s">
        <v>412</v>
      </c>
      <c r="H1220" t="s">
        <v>879</v>
      </c>
    </row>
    <row r="1221" spans="1:8">
      <c r="A1221" t="s">
        <v>166</v>
      </c>
      <c r="B1221">
        <v>2012</v>
      </c>
      <c r="C1221" t="s">
        <v>222</v>
      </c>
      <c r="D1221">
        <v>0</v>
      </c>
      <c r="E1221" t="s">
        <v>411</v>
      </c>
      <c r="F1221" t="s">
        <v>116</v>
      </c>
      <c r="G1221" t="s">
        <v>414</v>
      </c>
      <c r="H1221" t="s">
        <v>879</v>
      </c>
    </row>
    <row r="1222" spans="1:8">
      <c r="A1222" t="s">
        <v>167</v>
      </c>
      <c r="B1222">
        <v>2012</v>
      </c>
      <c r="C1222" t="s">
        <v>222</v>
      </c>
      <c r="D1222">
        <v>0.05</v>
      </c>
      <c r="E1222" t="s">
        <v>411</v>
      </c>
      <c r="F1222" t="s">
        <v>116</v>
      </c>
      <c r="G1222" t="s">
        <v>414</v>
      </c>
      <c r="H1222" t="s">
        <v>879</v>
      </c>
    </row>
    <row r="1223" spans="1:8">
      <c r="A1223" t="s">
        <v>138</v>
      </c>
      <c r="B1223">
        <v>2013</v>
      </c>
      <c r="C1223" t="s">
        <v>222</v>
      </c>
      <c r="D1223">
        <v>0.11</v>
      </c>
      <c r="E1223" t="s">
        <v>411</v>
      </c>
      <c r="F1223" t="s">
        <v>116</v>
      </c>
      <c r="G1223" t="s">
        <v>412</v>
      </c>
      <c r="H1223" t="s">
        <v>879</v>
      </c>
    </row>
    <row r="1224" spans="1:8">
      <c r="A1224" t="s">
        <v>122</v>
      </c>
      <c r="B1224">
        <v>2013</v>
      </c>
      <c r="C1224" t="s">
        <v>222</v>
      </c>
      <c r="D1224">
        <v>4.12</v>
      </c>
      <c r="E1224" t="s">
        <v>411</v>
      </c>
      <c r="F1224" t="s">
        <v>116</v>
      </c>
      <c r="G1224" t="s">
        <v>412</v>
      </c>
      <c r="H1224" t="s">
        <v>879</v>
      </c>
    </row>
    <row r="1225" spans="1:8">
      <c r="A1225" t="s">
        <v>123</v>
      </c>
      <c r="B1225">
        <v>2013</v>
      </c>
      <c r="C1225" t="s">
        <v>222</v>
      </c>
      <c r="D1225">
        <v>5.91</v>
      </c>
      <c r="E1225" t="s">
        <v>411</v>
      </c>
      <c r="F1225" t="s">
        <v>116</v>
      </c>
      <c r="G1225" t="s">
        <v>412</v>
      </c>
      <c r="H1225" t="s">
        <v>879</v>
      </c>
    </row>
    <row r="1226" spans="1:8">
      <c r="A1226" t="s">
        <v>164</v>
      </c>
      <c r="B1226">
        <v>2013</v>
      </c>
      <c r="C1226" t="s">
        <v>222</v>
      </c>
      <c r="D1226">
        <v>0.01</v>
      </c>
      <c r="E1226" t="s">
        <v>411</v>
      </c>
      <c r="F1226" t="s">
        <v>116</v>
      </c>
      <c r="G1226" t="s">
        <v>412</v>
      </c>
      <c r="H1226" t="s">
        <v>879</v>
      </c>
    </row>
    <row r="1227" spans="1:8">
      <c r="A1227" t="s">
        <v>140</v>
      </c>
      <c r="B1227">
        <v>2013</v>
      </c>
      <c r="C1227" t="s">
        <v>222</v>
      </c>
      <c r="D1227">
        <v>0</v>
      </c>
      <c r="E1227" t="s">
        <v>411</v>
      </c>
      <c r="F1227" t="s">
        <v>116</v>
      </c>
      <c r="G1227" t="s">
        <v>412</v>
      </c>
      <c r="H1227" t="s">
        <v>879</v>
      </c>
    </row>
    <row r="1228" spans="1:8">
      <c r="A1228" t="s">
        <v>165</v>
      </c>
      <c r="B1228">
        <v>2013</v>
      </c>
      <c r="C1228" t="s">
        <v>222</v>
      </c>
      <c r="D1228">
        <v>1.65</v>
      </c>
      <c r="E1228" t="s">
        <v>411</v>
      </c>
      <c r="F1228" t="s">
        <v>116</v>
      </c>
      <c r="G1228" t="s">
        <v>412</v>
      </c>
      <c r="H1228" t="s">
        <v>879</v>
      </c>
    </row>
    <row r="1229" spans="1:8">
      <c r="A1229" t="s">
        <v>138</v>
      </c>
      <c r="B1229">
        <v>2013</v>
      </c>
      <c r="C1229" t="s">
        <v>222</v>
      </c>
      <c r="D1229">
        <v>0</v>
      </c>
      <c r="E1229" t="s">
        <v>411</v>
      </c>
      <c r="F1229" t="s">
        <v>116</v>
      </c>
      <c r="G1229" t="s">
        <v>412</v>
      </c>
      <c r="H1229" t="s">
        <v>879</v>
      </c>
    </row>
    <row r="1230" spans="1:8">
      <c r="A1230" t="s">
        <v>166</v>
      </c>
      <c r="B1230">
        <v>2013</v>
      </c>
      <c r="C1230" t="s">
        <v>222</v>
      </c>
      <c r="D1230">
        <v>0</v>
      </c>
      <c r="E1230" t="s">
        <v>411</v>
      </c>
      <c r="F1230" t="s">
        <v>116</v>
      </c>
      <c r="G1230" t="s">
        <v>414</v>
      </c>
      <c r="H1230" t="s">
        <v>879</v>
      </c>
    </row>
    <row r="1231" spans="1:8">
      <c r="A1231" t="s">
        <v>167</v>
      </c>
      <c r="B1231">
        <v>2013</v>
      </c>
      <c r="C1231" t="s">
        <v>222</v>
      </c>
      <c r="D1231">
        <v>0.06</v>
      </c>
      <c r="E1231" t="s">
        <v>411</v>
      </c>
      <c r="F1231" t="s">
        <v>116</v>
      </c>
      <c r="G1231" t="s">
        <v>414</v>
      </c>
      <c r="H1231" t="s">
        <v>879</v>
      </c>
    </row>
    <row r="1232" spans="1:8">
      <c r="A1232" t="s">
        <v>138</v>
      </c>
      <c r="B1232">
        <v>2014</v>
      </c>
      <c r="C1232" t="s">
        <v>222</v>
      </c>
      <c r="D1232">
        <v>0.12</v>
      </c>
      <c r="E1232" t="s">
        <v>411</v>
      </c>
      <c r="F1232" t="s">
        <v>116</v>
      </c>
      <c r="G1232" t="s">
        <v>412</v>
      </c>
      <c r="H1232" t="s">
        <v>879</v>
      </c>
    </row>
    <row r="1233" spans="1:8">
      <c r="A1233" t="s">
        <v>122</v>
      </c>
      <c r="B1233">
        <v>2014</v>
      </c>
      <c r="C1233" t="s">
        <v>222</v>
      </c>
      <c r="D1233">
        <v>3.81</v>
      </c>
      <c r="E1233" t="s">
        <v>411</v>
      </c>
      <c r="F1233" t="s">
        <v>116</v>
      </c>
      <c r="G1233" t="s">
        <v>412</v>
      </c>
      <c r="H1233" t="s">
        <v>879</v>
      </c>
    </row>
    <row r="1234" spans="1:8">
      <c r="A1234" t="s">
        <v>123</v>
      </c>
      <c r="B1234">
        <v>2014</v>
      </c>
      <c r="C1234" t="s">
        <v>222</v>
      </c>
      <c r="D1234">
        <v>5.69</v>
      </c>
      <c r="E1234" t="s">
        <v>411</v>
      </c>
      <c r="F1234" t="s">
        <v>116</v>
      </c>
      <c r="G1234" t="s">
        <v>412</v>
      </c>
      <c r="H1234" t="s">
        <v>879</v>
      </c>
    </row>
    <row r="1235" spans="1:8">
      <c r="A1235" t="s">
        <v>164</v>
      </c>
      <c r="B1235">
        <v>2014</v>
      </c>
      <c r="C1235" t="s">
        <v>222</v>
      </c>
      <c r="D1235">
        <v>0.02</v>
      </c>
      <c r="E1235" t="s">
        <v>411</v>
      </c>
      <c r="F1235" t="s">
        <v>116</v>
      </c>
      <c r="G1235" t="s">
        <v>412</v>
      </c>
      <c r="H1235" t="s">
        <v>879</v>
      </c>
    </row>
    <row r="1236" spans="1:8">
      <c r="A1236" t="s">
        <v>140</v>
      </c>
      <c r="B1236">
        <v>2014</v>
      </c>
      <c r="C1236" t="s">
        <v>222</v>
      </c>
      <c r="D1236">
        <v>0</v>
      </c>
      <c r="E1236" t="s">
        <v>411</v>
      </c>
      <c r="F1236" t="s">
        <v>116</v>
      </c>
      <c r="G1236" t="s">
        <v>412</v>
      </c>
      <c r="H1236" t="s">
        <v>879</v>
      </c>
    </row>
    <row r="1237" spans="1:8">
      <c r="A1237" t="s">
        <v>165</v>
      </c>
      <c r="B1237">
        <v>2014</v>
      </c>
      <c r="C1237" t="s">
        <v>222</v>
      </c>
      <c r="D1237">
        <v>1.84</v>
      </c>
      <c r="E1237" t="s">
        <v>411</v>
      </c>
      <c r="F1237" t="s">
        <v>116</v>
      </c>
      <c r="G1237" t="s">
        <v>412</v>
      </c>
      <c r="H1237" t="s">
        <v>879</v>
      </c>
    </row>
    <row r="1238" spans="1:8">
      <c r="A1238" t="s">
        <v>138</v>
      </c>
      <c r="B1238">
        <v>2014</v>
      </c>
      <c r="C1238" t="s">
        <v>222</v>
      </c>
      <c r="D1238">
        <v>0</v>
      </c>
      <c r="E1238" t="s">
        <v>411</v>
      </c>
      <c r="F1238" t="s">
        <v>116</v>
      </c>
      <c r="G1238" t="s">
        <v>412</v>
      </c>
      <c r="H1238" t="s">
        <v>879</v>
      </c>
    </row>
    <row r="1239" spans="1:8">
      <c r="A1239" t="s">
        <v>166</v>
      </c>
      <c r="B1239">
        <v>2014</v>
      </c>
      <c r="C1239" t="s">
        <v>222</v>
      </c>
      <c r="D1239">
        <v>0</v>
      </c>
      <c r="E1239" t="s">
        <v>411</v>
      </c>
      <c r="F1239" t="s">
        <v>116</v>
      </c>
      <c r="G1239" t="s">
        <v>414</v>
      </c>
      <c r="H1239" t="s">
        <v>879</v>
      </c>
    </row>
    <row r="1240" spans="1:8">
      <c r="A1240" t="s">
        <v>167</v>
      </c>
      <c r="B1240">
        <v>2014</v>
      </c>
      <c r="C1240" t="s">
        <v>222</v>
      </c>
      <c r="D1240">
        <v>0.06</v>
      </c>
      <c r="E1240" t="s">
        <v>411</v>
      </c>
      <c r="F1240" t="s">
        <v>116</v>
      </c>
      <c r="G1240" t="s">
        <v>414</v>
      </c>
      <c r="H1240" t="s">
        <v>879</v>
      </c>
    </row>
    <row r="1241" spans="1:8">
      <c r="A1241" t="s">
        <v>138</v>
      </c>
      <c r="B1241">
        <v>2015</v>
      </c>
      <c r="C1241" t="s">
        <v>222</v>
      </c>
      <c r="D1241">
        <v>0.1</v>
      </c>
      <c r="E1241" t="s">
        <v>411</v>
      </c>
      <c r="F1241" t="s">
        <v>116</v>
      </c>
      <c r="G1241" t="s">
        <v>412</v>
      </c>
      <c r="H1241" t="s">
        <v>879</v>
      </c>
    </row>
    <row r="1242" spans="1:8">
      <c r="A1242" t="s">
        <v>122</v>
      </c>
      <c r="B1242">
        <v>2015</v>
      </c>
      <c r="C1242" t="s">
        <v>222</v>
      </c>
      <c r="D1242">
        <v>4.68</v>
      </c>
      <c r="E1242" t="s">
        <v>411</v>
      </c>
      <c r="F1242" t="s">
        <v>116</v>
      </c>
      <c r="G1242" t="s">
        <v>412</v>
      </c>
      <c r="H1242" t="s">
        <v>879</v>
      </c>
    </row>
    <row r="1243" spans="1:8">
      <c r="A1243" t="s">
        <v>123</v>
      </c>
      <c r="B1243">
        <v>2015</v>
      </c>
      <c r="C1243" t="s">
        <v>222</v>
      </c>
      <c r="D1243">
        <v>5.57</v>
      </c>
      <c r="E1243" t="s">
        <v>411</v>
      </c>
      <c r="F1243" t="s">
        <v>116</v>
      </c>
      <c r="G1243" t="s">
        <v>412</v>
      </c>
      <c r="H1243" t="s">
        <v>879</v>
      </c>
    </row>
    <row r="1244" spans="1:8">
      <c r="A1244" t="s">
        <v>164</v>
      </c>
      <c r="B1244">
        <v>2015</v>
      </c>
      <c r="C1244" t="s">
        <v>222</v>
      </c>
      <c r="D1244">
        <v>0.02</v>
      </c>
      <c r="E1244" t="s">
        <v>411</v>
      </c>
      <c r="F1244" t="s">
        <v>116</v>
      </c>
      <c r="G1244" t="s">
        <v>412</v>
      </c>
      <c r="H1244" t="s">
        <v>879</v>
      </c>
    </row>
    <row r="1245" spans="1:8">
      <c r="A1245" t="s">
        <v>140</v>
      </c>
      <c r="B1245">
        <v>2015</v>
      </c>
      <c r="C1245" t="s">
        <v>222</v>
      </c>
      <c r="D1245">
        <v>0</v>
      </c>
      <c r="E1245" t="s">
        <v>411</v>
      </c>
      <c r="F1245" t="s">
        <v>116</v>
      </c>
      <c r="G1245" t="s">
        <v>412</v>
      </c>
      <c r="H1245" t="s">
        <v>879</v>
      </c>
    </row>
    <row r="1246" spans="1:8">
      <c r="A1246" t="s">
        <v>165</v>
      </c>
      <c r="B1246">
        <v>2015</v>
      </c>
      <c r="C1246" t="s">
        <v>222</v>
      </c>
      <c r="D1246">
        <v>1.93</v>
      </c>
      <c r="E1246" t="s">
        <v>411</v>
      </c>
      <c r="F1246" t="s">
        <v>116</v>
      </c>
      <c r="G1246" t="s">
        <v>412</v>
      </c>
      <c r="H1246" t="s">
        <v>879</v>
      </c>
    </row>
    <row r="1247" spans="1:8">
      <c r="A1247" t="s">
        <v>138</v>
      </c>
      <c r="B1247">
        <v>2015</v>
      </c>
      <c r="C1247" t="s">
        <v>222</v>
      </c>
      <c r="D1247">
        <v>0</v>
      </c>
      <c r="E1247" t="s">
        <v>411</v>
      </c>
      <c r="F1247" t="s">
        <v>116</v>
      </c>
      <c r="G1247" t="s">
        <v>412</v>
      </c>
      <c r="H1247" t="s">
        <v>879</v>
      </c>
    </row>
    <row r="1248" spans="1:8">
      <c r="A1248" t="s">
        <v>166</v>
      </c>
      <c r="B1248">
        <v>2015</v>
      </c>
      <c r="C1248" t="s">
        <v>222</v>
      </c>
      <c r="D1248">
        <v>0</v>
      </c>
      <c r="E1248" t="s">
        <v>411</v>
      </c>
      <c r="F1248" t="s">
        <v>116</v>
      </c>
      <c r="G1248" t="s">
        <v>414</v>
      </c>
      <c r="H1248" t="s">
        <v>879</v>
      </c>
    </row>
    <row r="1249" spans="1:8">
      <c r="A1249" t="s">
        <v>167</v>
      </c>
      <c r="B1249">
        <v>2015</v>
      </c>
      <c r="C1249" t="s">
        <v>222</v>
      </c>
      <c r="D1249">
        <v>0.08</v>
      </c>
      <c r="E1249" t="s">
        <v>411</v>
      </c>
      <c r="F1249" t="s">
        <v>116</v>
      </c>
      <c r="G1249" t="s">
        <v>414</v>
      </c>
      <c r="H1249" t="s">
        <v>879</v>
      </c>
    </row>
    <row r="1250" spans="1:8">
      <c r="A1250" t="s">
        <v>138</v>
      </c>
      <c r="B1250">
        <v>2016</v>
      </c>
      <c r="C1250" t="s">
        <v>222</v>
      </c>
      <c r="D1250">
        <v>0.15</v>
      </c>
      <c r="E1250" t="s">
        <v>411</v>
      </c>
      <c r="F1250" t="s">
        <v>116</v>
      </c>
      <c r="G1250" t="s">
        <v>412</v>
      </c>
      <c r="H1250" t="s">
        <v>879</v>
      </c>
    </row>
    <row r="1251" spans="1:8">
      <c r="A1251" t="s">
        <v>122</v>
      </c>
      <c r="B1251">
        <v>2016</v>
      </c>
      <c r="C1251" t="s">
        <v>222</v>
      </c>
      <c r="D1251">
        <v>4.5199999999999996</v>
      </c>
      <c r="E1251" t="s">
        <v>411</v>
      </c>
      <c r="F1251" t="s">
        <v>116</v>
      </c>
      <c r="G1251" t="s">
        <v>412</v>
      </c>
      <c r="H1251" t="s">
        <v>879</v>
      </c>
    </row>
    <row r="1252" spans="1:8">
      <c r="A1252" t="s">
        <v>123</v>
      </c>
      <c r="B1252">
        <v>2016</v>
      </c>
      <c r="C1252" t="s">
        <v>222</v>
      </c>
      <c r="D1252">
        <v>6.9</v>
      </c>
      <c r="E1252" t="s">
        <v>411</v>
      </c>
      <c r="F1252" t="s">
        <v>116</v>
      </c>
      <c r="G1252" t="s">
        <v>412</v>
      </c>
      <c r="H1252" t="s">
        <v>879</v>
      </c>
    </row>
    <row r="1253" spans="1:8">
      <c r="A1253" t="s">
        <v>164</v>
      </c>
      <c r="B1253">
        <v>2016</v>
      </c>
      <c r="C1253" t="s">
        <v>222</v>
      </c>
      <c r="D1253">
        <v>0.02</v>
      </c>
      <c r="E1253" t="s">
        <v>411</v>
      </c>
      <c r="F1253" t="s">
        <v>116</v>
      </c>
      <c r="G1253" t="s">
        <v>412</v>
      </c>
      <c r="H1253" t="s">
        <v>879</v>
      </c>
    </row>
    <row r="1254" spans="1:8">
      <c r="A1254" t="s">
        <v>140</v>
      </c>
      <c r="B1254">
        <v>2016</v>
      </c>
      <c r="C1254" t="s">
        <v>222</v>
      </c>
      <c r="D1254">
        <v>0</v>
      </c>
      <c r="E1254" t="s">
        <v>411</v>
      </c>
      <c r="F1254" t="s">
        <v>116</v>
      </c>
      <c r="G1254" t="s">
        <v>412</v>
      </c>
      <c r="H1254" t="s">
        <v>879</v>
      </c>
    </row>
    <row r="1255" spans="1:8">
      <c r="A1255" t="s">
        <v>165</v>
      </c>
      <c r="B1255">
        <v>2016</v>
      </c>
      <c r="C1255" t="s">
        <v>222</v>
      </c>
      <c r="D1255">
        <v>1.75</v>
      </c>
      <c r="E1255" t="s">
        <v>411</v>
      </c>
      <c r="F1255" t="s">
        <v>116</v>
      </c>
      <c r="G1255" t="s">
        <v>412</v>
      </c>
      <c r="H1255" t="s">
        <v>879</v>
      </c>
    </row>
    <row r="1256" spans="1:8">
      <c r="A1256" t="s">
        <v>138</v>
      </c>
      <c r="B1256">
        <v>2016</v>
      </c>
      <c r="C1256" t="s">
        <v>222</v>
      </c>
      <c r="D1256">
        <v>0</v>
      </c>
      <c r="E1256" t="s">
        <v>411</v>
      </c>
      <c r="F1256" t="s">
        <v>116</v>
      </c>
      <c r="G1256" t="s">
        <v>412</v>
      </c>
      <c r="H1256" t="s">
        <v>879</v>
      </c>
    </row>
    <row r="1257" spans="1:8">
      <c r="A1257" t="s">
        <v>166</v>
      </c>
      <c r="B1257">
        <v>2016</v>
      </c>
      <c r="C1257" t="s">
        <v>222</v>
      </c>
      <c r="D1257">
        <v>0</v>
      </c>
      <c r="E1257" t="s">
        <v>411</v>
      </c>
      <c r="F1257" t="s">
        <v>116</v>
      </c>
      <c r="G1257" t="s">
        <v>414</v>
      </c>
      <c r="H1257" t="s">
        <v>879</v>
      </c>
    </row>
    <row r="1258" spans="1:8">
      <c r="A1258" t="s">
        <v>167</v>
      </c>
      <c r="B1258">
        <v>2016</v>
      </c>
      <c r="C1258" t="s">
        <v>222</v>
      </c>
      <c r="D1258">
        <v>0.08</v>
      </c>
      <c r="E1258" t="s">
        <v>411</v>
      </c>
      <c r="F1258" t="s">
        <v>116</v>
      </c>
      <c r="G1258" t="s">
        <v>414</v>
      </c>
      <c r="H1258" t="s">
        <v>879</v>
      </c>
    </row>
    <row r="1259" spans="1:8">
      <c r="A1259" t="s">
        <v>138</v>
      </c>
      <c r="B1259">
        <v>2017</v>
      </c>
      <c r="C1259" t="s">
        <v>222</v>
      </c>
      <c r="D1259">
        <v>0.16</v>
      </c>
      <c r="E1259" t="s">
        <v>411</v>
      </c>
      <c r="F1259" t="s">
        <v>116</v>
      </c>
      <c r="G1259" t="s">
        <v>412</v>
      </c>
      <c r="H1259" t="s">
        <v>879</v>
      </c>
    </row>
    <row r="1260" spans="1:8">
      <c r="A1260" t="s">
        <v>122</v>
      </c>
      <c r="B1260">
        <v>2017</v>
      </c>
      <c r="C1260" t="s">
        <v>222</v>
      </c>
      <c r="D1260">
        <v>3.5</v>
      </c>
      <c r="E1260" t="s">
        <v>411</v>
      </c>
      <c r="F1260" t="s">
        <v>116</v>
      </c>
      <c r="G1260" t="s">
        <v>412</v>
      </c>
      <c r="H1260" t="s">
        <v>879</v>
      </c>
    </row>
    <row r="1261" spans="1:8">
      <c r="A1261" t="s">
        <v>123</v>
      </c>
      <c r="B1261">
        <v>2017</v>
      </c>
      <c r="C1261" t="s">
        <v>222</v>
      </c>
      <c r="D1261">
        <v>7.05</v>
      </c>
      <c r="E1261" t="s">
        <v>411</v>
      </c>
      <c r="F1261" t="s">
        <v>116</v>
      </c>
      <c r="G1261" t="s">
        <v>412</v>
      </c>
      <c r="H1261" t="s">
        <v>879</v>
      </c>
    </row>
    <row r="1262" spans="1:8">
      <c r="A1262" t="s">
        <v>164</v>
      </c>
      <c r="B1262">
        <v>2017</v>
      </c>
      <c r="C1262" t="s">
        <v>222</v>
      </c>
      <c r="D1262">
        <v>0.02</v>
      </c>
      <c r="E1262" t="s">
        <v>411</v>
      </c>
      <c r="F1262" t="s">
        <v>116</v>
      </c>
      <c r="G1262" t="s">
        <v>412</v>
      </c>
      <c r="H1262" t="s">
        <v>879</v>
      </c>
    </row>
    <row r="1263" spans="1:8">
      <c r="A1263" t="s">
        <v>140</v>
      </c>
      <c r="B1263">
        <v>2017</v>
      </c>
      <c r="C1263" t="s">
        <v>222</v>
      </c>
      <c r="D1263">
        <v>0</v>
      </c>
      <c r="E1263" t="s">
        <v>411</v>
      </c>
      <c r="F1263" t="s">
        <v>116</v>
      </c>
      <c r="G1263" t="s">
        <v>412</v>
      </c>
      <c r="H1263" t="s">
        <v>879</v>
      </c>
    </row>
    <row r="1264" spans="1:8">
      <c r="A1264" t="s">
        <v>165</v>
      </c>
      <c r="B1264">
        <v>2017</v>
      </c>
      <c r="C1264" t="s">
        <v>222</v>
      </c>
      <c r="D1264">
        <v>1.62</v>
      </c>
      <c r="E1264" t="s">
        <v>411</v>
      </c>
      <c r="F1264" t="s">
        <v>116</v>
      </c>
      <c r="G1264" t="s">
        <v>412</v>
      </c>
      <c r="H1264" t="s">
        <v>879</v>
      </c>
    </row>
    <row r="1265" spans="1:8">
      <c r="A1265" t="s">
        <v>138</v>
      </c>
      <c r="B1265">
        <v>2017</v>
      </c>
      <c r="C1265" t="s">
        <v>222</v>
      </c>
      <c r="D1265">
        <v>0</v>
      </c>
      <c r="E1265" t="s">
        <v>411</v>
      </c>
      <c r="F1265" t="s">
        <v>116</v>
      </c>
      <c r="G1265" t="s">
        <v>412</v>
      </c>
      <c r="H1265" t="s">
        <v>879</v>
      </c>
    </row>
    <row r="1266" spans="1:8">
      <c r="A1266" t="s">
        <v>166</v>
      </c>
      <c r="B1266">
        <v>2017</v>
      </c>
      <c r="C1266" t="s">
        <v>222</v>
      </c>
      <c r="D1266">
        <v>0</v>
      </c>
      <c r="E1266" t="s">
        <v>411</v>
      </c>
      <c r="F1266" t="s">
        <v>116</v>
      </c>
      <c r="G1266" t="s">
        <v>414</v>
      </c>
      <c r="H1266" t="s">
        <v>879</v>
      </c>
    </row>
    <row r="1267" spans="1:8">
      <c r="A1267" t="s">
        <v>167</v>
      </c>
      <c r="B1267">
        <v>2017</v>
      </c>
      <c r="C1267" t="s">
        <v>222</v>
      </c>
      <c r="D1267">
        <v>0.09</v>
      </c>
      <c r="E1267" t="s">
        <v>411</v>
      </c>
      <c r="F1267" t="s">
        <v>116</v>
      </c>
      <c r="G1267" t="s">
        <v>414</v>
      </c>
      <c r="H1267" t="s">
        <v>879</v>
      </c>
    </row>
    <row r="1268" spans="1:8">
      <c r="A1268" t="s">
        <v>138</v>
      </c>
      <c r="B1268">
        <v>2018</v>
      </c>
      <c r="C1268" t="s">
        <v>222</v>
      </c>
      <c r="D1268">
        <v>0.18</v>
      </c>
      <c r="E1268" t="s">
        <v>411</v>
      </c>
      <c r="F1268" t="s">
        <v>116</v>
      </c>
      <c r="G1268" t="s">
        <v>412</v>
      </c>
      <c r="H1268" t="s">
        <v>879</v>
      </c>
    </row>
    <row r="1269" spans="1:8">
      <c r="A1269" t="s">
        <v>122</v>
      </c>
      <c r="B1269">
        <v>2018</v>
      </c>
      <c r="C1269" t="s">
        <v>222</v>
      </c>
      <c r="D1269">
        <v>2.0699999999999998</v>
      </c>
      <c r="E1269" t="s">
        <v>411</v>
      </c>
      <c r="F1269" t="s">
        <v>116</v>
      </c>
      <c r="G1269" t="s">
        <v>412</v>
      </c>
      <c r="H1269" t="s">
        <v>879</v>
      </c>
    </row>
    <row r="1270" spans="1:8">
      <c r="A1270" t="s">
        <v>123</v>
      </c>
      <c r="B1270">
        <v>2018</v>
      </c>
      <c r="C1270" t="s">
        <v>222</v>
      </c>
      <c r="D1270">
        <v>7.21</v>
      </c>
      <c r="E1270" t="s">
        <v>411</v>
      </c>
      <c r="F1270" t="s">
        <v>116</v>
      </c>
      <c r="G1270" t="s">
        <v>412</v>
      </c>
      <c r="H1270" t="s">
        <v>879</v>
      </c>
    </row>
    <row r="1271" spans="1:8">
      <c r="A1271" t="s">
        <v>164</v>
      </c>
      <c r="B1271">
        <v>2018</v>
      </c>
      <c r="C1271" t="s">
        <v>222</v>
      </c>
      <c r="D1271">
        <v>0.02</v>
      </c>
      <c r="E1271" t="s">
        <v>411</v>
      </c>
      <c r="F1271" t="s">
        <v>116</v>
      </c>
      <c r="G1271" t="s">
        <v>412</v>
      </c>
      <c r="H1271" t="s">
        <v>879</v>
      </c>
    </row>
    <row r="1272" spans="1:8">
      <c r="A1272" t="s">
        <v>140</v>
      </c>
      <c r="B1272">
        <v>2018</v>
      </c>
      <c r="C1272" t="s">
        <v>222</v>
      </c>
      <c r="D1272">
        <v>0</v>
      </c>
      <c r="E1272" t="s">
        <v>411</v>
      </c>
      <c r="F1272" t="s">
        <v>116</v>
      </c>
      <c r="G1272" t="s">
        <v>412</v>
      </c>
      <c r="H1272" t="s">
        <v>879</v>
      </c>
    </row>
    <row r="1273" spans="1:8">
      <c r="A1273" t="s">
        <v>165</v>
      </c>
      <c r="B1273">
        <v>2018</v>
      </c>
      <c r="C1273" t="s">
        <v>222</v>
      </c>
      <c r="D1273">
        <v>1.66</v>
      </c>
      <c r="E1273" t="s">
        <v>411</v>
      </c>
      <c r="F1273" t="s">
        <v>116</v>
      </c>
      <c r="G1273" t="s">
        <v>412</v>
      </c>
      <c r="H1273" t="s">
        <v>879</v>
      </c>
    </row>
    <row r="1274" spans="1:8">
      <c r="A1274" t="s">
        <v>138</v>
      </c>
      <c r="B1274">
        <v>2018</v>
      </c>
      <c r="C1274" t="s">
        <v>222</v>
      </c>
      <c r="D1274">
        <v>0</v>
      </c>
      <c r="E1274" t="s">
        <v>411</v>
      </c>
      <c r="F1274" t="s">
        <v>116</v>
      </c>
      <c r="G1274" t="s">
        <v>412</v>
      </c>
      <c r="H1274" t="s">
        <v>879</v>
      </c>
    </row>
    <row r="1275" spans="1:8">
      <c r="A1275" t="s">
        <v>166</v>
      </c>
      <c r="B1275">
        <v>2018</v>
      </c>
      <c r="C1275" t="s">
        <v>222</v>
      </c>
      <c r="D1275">
        <v>0</v>
      </c>
      <c r="E1275" t="s">
        <v>411</v>
      </c>
      <c r="F1275" t="s">
        <v>116</v>
      </c>
      <c r="G1275" t="s">
        <v>414</v>
      </c>
      <c r="H1275" t="s">
        <v>879</v>
      </c>
    </row>
    <row r="1276" spans="1:8">
      <c r="A1276" t="s">
        <v>167</v>
      </c>
      <c r="B1276">
        <v>2018</v>
      </c>
      <c r="C1276" t="s">
        <v>222</v>
      </c>
      <c r="D1276">
        <v>0.11</v>
      </c>
      <c r="E1276" t="s">
        <v>411</v>
      </c>
      <c r="F1276" t="s">
        <v>116</v>
      </c>
      <c r="G1276" t="s">
        <v>414</v>
      </c>
      <c r="H1276" t="s">
        <v>879</v>
      </c>
    </row>
    <row r="1277" spans="1:8">
      <c r="A1277" t="s">
        <v>138</v>
      </c>
      <c r="B1277">
        <v>2019</v>
      </c>
      <c r="C1277" t="s">
        <v>222</v>
      </c>
      <c r="D1277">
        <v>0.18</v>
      </c>
      <c r="E1277" t="s">
        <v>411</v>
      </c>
      <c r="F1277" t="s">
        <v>116</v>
      </c>
      <c r="G1277" t="s">
        <v>412</v>
      </c>
      <c r="H1277" t="s">
        <v>879</v>
      </c>
    </row>
    <row r="1278" spans="1:8">
      <c r="A1278" t="s">
        <v>122</v>
      </c>
      <c r="B1278">
        <v>2019</v>
      </c>
      <c r="C1278" t="s">
        <v>222</v>
      </c>
      <c r="D1278">
        <v>0.49</v>
      </c>
      <c r="E1278" t="s">
        <v>411</v>
      </c>
      <c r="F1278" t="s">
        <v>116</v>
      </c>
      <c r="G1278" t="s">
        <v>412</v>
      </c>
      <c r="H1278" t="s">
        <v>879</v>
      </c>
    </row>
    <row r="1279" spans="1:8">
      <c r="A1279" t="s">
        <v>123</v>
      </c>
      <c r="B1279">
        <v>2019</v>
      </c>
      <c r="C1279" t="s">
        <v>222</v>
      </c>
      <c r="D1279">
        <v>7.16</v>
      </c>
      <c r="E1279" t="s">
        <v>411</v>
      </c>
      <c r="F1279" t="s">
        <v>116</v>
      </c>
      <c r="G1279" t="s">
        <v>412</v>
      </c>
      <c r="H1279" t="s">
        <v>879</v>
      </c>
    </row>
    <row r="1280" spans="1:8">
      <c r="A1280" t="s">
        <v>164</v>
      </c>
      <c r="B1280">
        <v>2019</v>
      </c>
      <c r="C1280" t="s">
        <v>222</v>
      </c>
      <c r="D1280">
        <v>0.02</v>
      </c>
      <c r="E1280" t="s">
        <v>411</v>
      </c>
      <c r="F1280" t="s">
        <v>116</v>
      </c>
      <c r="G1280" t="s">
        <v>412</v>
      </c>
      <c r="H1280" t="s">
        <v>879</v>
      </c>
    </row>
    <row r="1281" spans="1:8">
      <c r="A1281" t="s">
        <v>140</v>
      </c>
      <c r="B1281">
        <v>2019</v>
      </c>
      <c r="C1281" t="s">
        <v>222</v>
      </c>
      <c r="D1281">
        <v>0</v>
      </c>
      <c r="E1281" t="s">
        <v>411</v>
      </c>
      <c r="F1281" t="s">
        <v>116</v>
      </c>
      <c r="G1281" t="s">
        <v>412</v>
      </c>
      <c r="H1281" t="s">
        <v>879</v>
      </c>
    </row>
    <row r="1282" spans="1:8">
      <c r="A1282" t="s">
        <v>165</v>
      </c>
      <c r="B1282">
        <v>2019</v>
      </c>
      <c r="C1282" t="s">
        <v>222</v>
      </c>
      <c r="D1282">
        <v>1.65</v>
      </c>
      <c r="E1282" t="s">
        <v>411</v>
      </c>
      <c r="F1282" t="s">
        <v>116</v>
      </c>
      <c r="G1282" t="s">
        <v>412</v>
      </c>
      <c r="H1282" t="s">
        <v>879</v>
      </c>
    </row>
    <row r="1283" spans="1:8">
      <c r="A1283" t="s">
        <v>138</v>
      </c>
      <c r="B1283">
        <v>2019</v>
      </c>
      <c r="C1283" t="s">
        <v>222</v>
      </c>
      <c r="D1283">
        <v>0</v>
      </c>
      <c r="E1283" t="s">
        <v>411</v>
      </c>
      <c r="F1283" t="s">
        <v>116</v>
      </c>
      <c r="G1283" t="s">
        <v>412</v>
      </c>
      <c r="H1283" t="s">
        <v>879</v>
      </c>
    </row>
    <row r="1284" spans="1:8">
      <c r="A1284" t="s">
        <v>166</v>
      </c>
      <c r="B1284">
        <v>2019</v>
      </c>
      <c r="C1284" t="s">
        <v>222</v>
      </c>
      <c r="D1284">
        <v>0</v>
      </c>
      <c r="E1284" t="s">
        <v>411</v>
      </c>
      <c r="F1284" t="s">
        <v>116</v>
      </c>
      <c r="G1284" t="s">
        <v>414</v>
      </c>
      <c r="H1284" t="s">
        <v>879</v>
      </c>
    </row>
    <row r="1285" spans="1:8">
      <c r="A1285" t="s">
        <v>167</v>
      </c>
      <c r="B1285">
        <v>2019</v>
      </c>
      <c r="C1285" t="s">
        <v>222</v>
      </c>
      <c r="D1285">
        <v>0.13</v>
      </c>
      <c r="E1285" t="s">
        <v>411</v>
      </c>
      <c r="F1285" t="s">
        <v>116</v>
      </c>
      <c r="G1285" t="s">
        <v>414</v>
      </c>
      <c r="H1285" t="s">
        <v>879</v>
      </c>
    </row>
    <row r="1286" spans="1:8">
      <c r="A1286" t="s">
        <v>138</v>
      </c>
      <c r="B1286">
        <v>2020</v>
      </c>
      <c r="C1286" t="s">
        <v>222</v>
      </c>
      <c r="D1286">
        <v>0.2</v>
      </c>
      <c r="E1286" t="s">
        <v>411</v>
      </c>
      <c r="F1286" t="s">
        <v>116</v>
      </c>
      <c r="G1286" t="s">
        <v>412</v>
      </c>
      <c r="H1286" t="s">
        <v>879</v>
      </c>
    </row>
    <row r="1287" spans="1:8">
      <c r="A1287" t="s">
        <v>122</v>
      </c>
      <c r="B1287">
        <v>2020</v>
      </c>
      <c r="C1287" t="s">
        <v>222</v>
      </c>
      <c r="D1287">
        <v>0.64</v>
      </c>
      <c r="E1287" t="s">
        <v>411</v>
      </c>
      <c r="F1287" t="s">
        <v>116</v>
      </c>
      <c r="G1287" t="s">
        <v>412</v>
      </c>
      <c r="H1287" t="s">
        <v>879</v>
      </c>
    </row>
    <row r="1288" spans="1:8">
      <c r="A1288" t="s">
        <v>123</v>
      </c>
      <c r="B1288">
        <v>2020</v>
      </c>
      <c r="C1288" t="s">
        <v>222</v>
      </c>
      <c r="D1288">
        <v>7.31</v>
      </c>
      <c r="E1288" t="s">
        <v>411</v>
      </c>
      <c r="F1288" t="s">
        <v>116</v>
      </c>
      <c r="G1288" t="s">
        <v>412</v>
      </c>
      <c r="H1288" t="s">
        <v>879</v>
      </c>
    </row>
    <row r="1289" spans="1:8">
      <c r="A1289" t="s">
        <v>164</v>
      </c>
      <c r="B1289">
        <v>2020</v>
      </c>
      <c r="C1289" t="s">
        <v>222</v>
      </c>
      <c r="D1289">
        <v>0.02</v>
      </c>
      <c r="E1289" t="s">
        <v>411</v>
      </c>
      <c r="F1289" t="s">
        <v>116</v>
      </c>
      <c r="G1289" t="s">
        <v>412</v>
      </c>
      <c r="H1289" t="s">
        <v>879</v>
      </c>
    </row>
    <row r="1290" spans="1:8">
      <c r="A1290" t="s">
        <v>140</v>
      </c>
      <c r="B1290">
        <v>2020</v>
      </c>
      <c r="C1290" t="s">
        <v>222</v>
      </c>
      <c r="D1290">
        <v>0</v>
      </c>
      <c r="E1290" t="s">
        <v>411</v>
      </c>
      <c r="F1290" t="s">
        <v>116</v>
      </c>
      <c r="G1290" t="s">
        <v>412</v>
      </c>
      <c r="H1290" t="s">
        <v>879</v>
      </c>
    </row>
    <row r="1291" spans="1:8">
      <c r="A1291" t="s">
        <v>165</v>
      </c>
      <c r="B1291">
        <v>2020</v>
      </c>
      <c r="C1291" t="s">
        <v>222</v>
      </c>
      <c r="D1291">
        <v>1.05</v>
      </c>
      <c r="E1291" t="s">
        <v>411</v>
      </c>
      <c r="F1291" t="s">
        <v>116</v>
      </c>
      <c r="G1291" t="s">
        <v>412</v>
      </c>
      <c r="H1291" t="s">
        <v>879</v>
      </c>
    </row>
    <row r="1292" spans="1:8">
      <c r="A1292" t="s">
        <v>138</v>
      </c>
      <c r="B1292">
        <v>2020</v>
      </c>
      <c r="C1292" t="s">
        <v>222</v>
      </c>
      <c r="D1292">
        <v>0</v>
      </c>
      <c r="E1292" t="s">
        <v>411</v>
      </c>
      <c r="F1292" t="s">
        <v>116</v>
      </c>
      <c r="G1292" t="s">
        <v>412</v>
      </c>
      <c r="H1292" t="s">
        <v>879</v>
      </c>
    </row>
    <row r="1293" spans="1:8">
      <c r="A1293" t="s">
        <v>166</v>
      </c>
      <c r="B1293">
        <v>2020</v>
      </c>
      <c r="C1293" t="s">
        <v>222</v>
      </c>
      <c r="D1293">
        <v>0</v>
      </c>
      <c r="E1293" t="s">
        <v>411</v>
      </c>
      <c r="F1293" t="s">
        <v>116</v>
      </c>
      <c r="G1293" t="s">
        <v>414</v>
      </c>
      <c r="H1293" t="s">
        <v>879</v>
      </c>
    </row>
    <row r="1294" spans="1:8">
      <c r="A1294" t="s">
        <v>167</v>
      </c>
      <c r="B1294">
        <v>2020</v>
      </c>
      <c r="C1294" t="s">
        <v>222</v>
      </c>
      <c r="D1294">
        <v>0.14000000000000001</v>
      </c>
      <c r="E1294" t="s">
        <v>411</v>
      </c>
      <c r="F1294" t="s">
        <v>116</v>
      </c>
      <c r="G1294" t="s">
        <v>414</v>
      </c>
      <c r="H1294" t="s">
        <v>879</v>
      </c>
    </row>
    <row r="1295" spans="1:8">
      <c r="A1295" t="s">
        <v>138</v>
      </c>
      <c r="B1295">
        <v>2021</v>
      </c>
      <c r="C1295" t="s">
        <v>222</v>
      </c>
      <c r="D1295">
        <v>0.21</v>
      </c>
      <c r="E1295" t="s">
        <v>411</v>
      </c>
      <c r="F1295" t="s">
        <v>116</v>
      </c>
      <c r="G1295" t="s">
        <v>412</v>
      </c>
      <c r="H1295" t="s">
        <v>879</v>
      </c>
    </row>
    <row r="1296" spans="1:8">
      <c r="A1296" t="s">
        <v>122</v>
      </c>
      <c r="B1296">
        <v>2021</v>
      </c>
      <c r="C1296" t="s">
        <v>222</v>
      </c>
      <c r="D1296">
        <v>2.62</v>
      </c>
      <c r="E1296" t="s">
        <v>411</v>
      </c>
      <c r="F1296" t="s">
        <v>116</v>
      </c>
      <c r="G1296" t="s">
        <v>412</v>
      </c>
      <c r="H1296" t="s">
        <v>879</v>
      </c>
    </row>
    <row r="1297" spans="1:8">
      <c r="A1297" t="s">
        <v>123</v>
      </c>
      <c r="B1297">
        <v>2021</v>
      </c>
      <c r="C1297" t="s">
        <v>222</v>
      </c>
      <c r="D1297">
        <v>6.82</v>
      </c>
      <c r="E1297" t="s">
        <v>411</v>
      </c>
      <c r="F1297" t="s">
        <v>116</v>
      </c>
      <c r="G1297" t="s">
        <v>412</v>
      </c>
      <c r="H1297" t="s">
        <v>879</v>
      </c>
    </row>
    <row r="1298" spans="1:8">
      <c r="A1298" t="s">
        <v>164</v>
      </c>
      <c r="B1298">
        <v>2021</v>
      </c>
      <c r="C1298" t="s">
        <v>222</v>
      </c>
      <c r="D1298">
        <v>0.02</v>
      </c>
      <c r="E1298" t="s">
        <v>411</v>
      </c>
      <c r="F1298" t="s">
        <v>116</v>
      </c>
      <c r="G1298" t="s">
        <v>412</v>
      </c>
      <c r="H1298" t="s">
        <v>879</v>
      </c>
    </row>
    <row r="1299" spans="1:8">
      <c r="A1299" t="s">
        <v>140</v>
      </c>
      <c r="B1299">
        <v>2021</v>
      </c>
      <c r="C1299" t="s">
        <v>222</v>
      </c>
      <c r="D1299">
        <v>0</v>
      </c>
      <c r="E1299" t="s">
        <v>411</v>
      </c>
      <c r="F1299" t="s">
        <v>116</v>
      </c>
      <c r="G1299" t="s">
        <v>412</v>
      </c>
      <c r="H1299" t="s">
        <v>879</v>
      </c>
    </row>
    <row r="1300" spans="1:8">
      <c r="A1300" t="s">
        <v>165</v>
      </c>
      <c r="B1300">
        <v>2021</v>
      </c>
      <c r="C1300" t="s">
        <v>222</v>
      </c>
      <c r="D1300">
        <v>1.38</v>
      </c>
      <c r="E1300" t="s">
        <v>411</v>
      </c>
      <c r="F1300" t="s">
        <v>116</v>
      </c>
      <c r="G1300" t="s">
        <v>412</v>
      </c>
      <c r="H1300" t="s">
        <v>879</v>
      </c>
    </row>
    <row r="1301" spans="1:8">
      <c r="A1301" t="s">
        <v>138</v>
      </c>
      <c r="B1301">
        <v>2021</v>
      </c>
      <c r="C1301" t="s">
        <v>222</v>
      </c>
      <c r="D1301">
        <v>0</v>
      </c>
      <c r="E1301" t="s">
        <v>411</v>
      </c>
      <c r="F1301" t="s">
        <v>116</v>
      </c>
      <c r="G1301" t="s">
        <v>412</v>
      </c>
      <c r="H1301" t="s">
        <v>879</v>
      </c>
    </row>
    <row r="1302" spans="1:8">
      <c r="A1302" t="s">
        <v>166</v>
      </c>
      <c r="B1302">
        <v>2021</v>
      </c>
      <c r="C1302" t="s">
        <v>222</v>
      </c>
      <c r="D1302">
        <v>0</v>
      </c>
      <c r="E1302" t="s">
        <v>411</v>
      </c>
      <c r="F1302" t="s">
        <v>116</v>
      </c>
      <c r="G1302" t="s">
        <v>414</v>
      </c>
      <c r="H1302" t="s">
        <v>879</v>
      </c>
    </row>
    <row r="1303" spans="1:8">
      <c r="A1303" t="s">
        <v>167</v>
      </c>
      <c r="B1303">
        <v>2021</v>
      </c>
      <c r="C1303" t="s">
        <v>222</v>
      </c>
      <c r="D1303">
        <v>0.12</v>
      </c>
      <c r="E1303" t="s">
        <v>411</v>
      </c>
      <c r="F1303" t="s">
        <v>116</v>
      </c>
      <c r="G1303" t="s">
        <v>414</v>
      </c>
      <c r="H1303" t="s">
        <v>879</v>
      </c>
    </row>
    <row r="1304" spans="1:8">
      <c r="A1304" t="s">
        <v>138</v>
      </c>
      <c r="B1304">
        <v>2022</v>
      </c>
      <c r="C1304" t="s">
        <v>222</v>
      </c>
      <c r="D1304">
        <v>0.22</v>
      </c>
      <c r="E1304" t="s">
        <v>411</v>
      </c>
      <c r="F1304" t="s">
        <v>116</v>
      </c>
      <c r="G1304" t="s">
        <v>412</v>
      </c>
      <c r="H1304" t="s">
        <v>879</v>
      </c>
    </row>
    <row r="1305" spans="1:8">
      <c r="A1305" t="s">
        <v>122</v>
      </c>
      <c r="B1305">
        <v>2022</v>
      </c>
      <c r="C1305" t="s">
        <v>222</v>
      </c>
      <c r="D1305">
        <v>2.2799999999999998</v>
      </c>
      <c r="E1305" t="s">
        <v>411</v>
      </c>
      <c r="F1305" t="s">
        <v>116</v>
      </c>
      <c r="G1305" t="s">
        <v>412</v>
      </c>
      <c r="H1305" t="s">
        <v>879</v>
      </c>
    </row>
    <row r="1306" spans="1:8">
      <c r="A1306" t="s">
        <v>123</v>
      </c>
      <c r="B1306">
        <v>2022</v>
      </c>
      <c r="C1306" t="s">
        <v>222</v>
      </c>
      <c r="D1306">
        <v>7.44</v>
      </c>
      <c r="E1306" t="s">
        <v>411</v>
      </c>
      <c r="F1306" t="s">
        <v>116</v>
      </c>
      <c r="G1306" t="s">
        <v>412</v>
      </c>
      <c r="H1306" t="s">
        <v>879</v>
      </c>
    </row>
    <row r="1307" spans="1:8">
      <c r="A1307" t="s">
        <v>164</v>
      </c>
      <c r="B1307">
        <v>2022</v>
      </c>
      <c r="C1307" t="s">
        <v>222</v>
      </c>
      <c r="D1307">
        <v>0.02</v>
      </c>
      <c r="E1307" t="s">
        <v>411</v>
      </c>
      <c r="F1307" t="s">
        <v>116</v>
      </c>
      <c r="G1307" t="s">
        <v>412</v>
      </c>
      <c r="H1307" t="s">
        <v>879</v>
      </c>
    </row>
    <row r="1308" spans="1:8">
      <c r="A1308" t="s">
        <v>140</v>
      </c>
      <c r="B1308">
        <v>2022</v>
      </c>
      <c r="C1308" t="s">
        <v>222</v>
      </c>
      <c r="D1308">
        <v>0</v>
      </c>
      <c r="E1308" t="s">
        <v>411</v>
      </c>
      <c r="F1308" t="s">
        <v>116</v>
      </c>
      <c r="G1308" t="s">
        <v>412</v>
      </c>
      <c r="H1308" t="s">
        <v>879</v>
      </c>
    </row>
    <row r="1309" spans="1:8">
      <c r="A1309" t="s">
        <v>165</v>
      </c>
      <c r="B1309">
        <v>2022</v>
      </c>
      <c r="C1309" t="s">
        <v>222</v>
      </c>
      <c r="D1309">
        <v>1.08</v>
      </c>
      <c r="E1309" t="s">
        <v>411</v>
      </c>
      <c r="F1309" t="s">
        <v>116</v>
      </c>
      <c r="G1309" t="s">
        <v>412</v>
      </c>
      <c r="H1309" t="s">
        <v>879</v>
      </c>
    </row>
    <row r="1310" spans="1:8">
      <c r="A1310" t="s">
        <v>138</v>
      </c>
      <c r="B1310">
        <v>2022</v>
      </c>
      <c r="C1310" t="s">
        <v>222</v>
      </c>
      <c r="D1310">
        <v>0</v>
      </c>
      <c r="E1310" t="s">
        <v>411</v>
      </c>
      <c r="F1310" t="s">
        <v>116</v>
      </c>
      <c r="G1310" t="s">
        <v>412</v>
      </c>
      <c r="H1310" t="s">
        <v>879</v>
      </c>
    </row>
    <row r="1311" spans="1:8">
      <c r="A1311" t="s">
        <v>166</v>
      </c>
      <c r="B1311">
        <v>2022</v>
      </c>
      <c r="C1311" t="s">
        <v>222</v>
      </c>
      <c r="D1311">
        <v>0.01</v>
      </c>
      <c r="E1311" t="s">
        <v>411</v>
      </c>
      <c r="F1311" t="s">
        <v>116</v>
      </c>
      <c r="G1311" t="s">
        <v>414</v>
      </c>
      <c r="H1311" t="s">
        <v>879</v>
      </c>
    </row>
    <row r="1312" spans="1:8">
      <c r="A1312" t="s">
        <v>167</v>
      </c>
      <c r="B1312">
        <v>2022</v>
      </c>
      <c r="C1312" t="s">
        <v>222</v>
      </c>
      <c r="D1312">
        <v>0.14000000000000001</v>
      </c>
      <c r="E1312" t="s">
        <v>411</v>
      </c>
      <c r="F1312" t="s">
        <v>116</v>
      </c>
      <c r="G1312" t="s">
        <v>414</v>
      </c>
      <c r="H1312" t="s">
        <v>879</v>
      </c>
    </row>
    <row r="1313" spans="1:8">
      <c r="A1313" t="s">
        <v>138</v>
      </c>
      <c r="B1313">
        <v>2023</v>
      </c>
      <c r="C1313" t="s">
        <v>222</v>
      </c>
      <c r="D1313">
        <v>0.18</v>
      </c>
      <c r="E1313" t="s">
        <v>411</v>
      </c>
      <c r="F1313" t="s">
        <v>116</v>
      </c>
      <c r="G1313" t="s">
        <v>412</v>
      </c>
      <c r="H1313" t="s">
        <v>879</v>
      </c>
    </row>
    <row r="1314" spans="1:8">
      <c r="A1314" t="s">
        <v>122</v>
      </c>
      <c r="B1314">
        <v>2023</v>
      </c>
      <c r="C1314" t="s">
        <v>222</v>
      </c>
      <c r="D1314">
        <v>1.1599999999999999</v>
      </c>
      <c r="E1314" t="s">
        <v>411</v>
      </c>
      <c r="F1314" t="s">
        <v>116</v>
      </c>
      <c r="G1314" t="s">
        <v>412</v>
      </c>
      <c r="H1314" t="s">
        <v>879</v>
      </c>
    </row>
    <row r="1315" spans="1:8">
      <c r="A1315" t="s">
        <v>123</v>
      </c>
      <c r="B1315">
        <v>2023</v>
      </c>
      <c r="C1315" t="s">
        <v>222</v>
      </c>
      <c r="D1315">
        <v>6.91</v>
      </c>
      <c r="E1315" t="s">
        <v>411</v>
      </c>
      <c r="F1315" t="s">
        <v>116</v>
      </c>
      <c r="G1315" t="s">
        <v>412</v>
      </c>
      <c r="H1315" t="s">
        <v>879</v>
      </c>
    </row>
    <row r="1316" spans="1:8">
      <c r="A1316" t="s">
        <v>164</v>
      </c>
      <c r="B1316">
        <v>2023</v>
      </c>
      <c r="C1316" t="s">
        <v>222</v>
      </c>
      <c r="D1316">
        <v>0.02</v>
      </c>
      <c r="E1316" t="s">
        <v>411</v>
      </c>
      <c r="F1316" t="s">
        <v>116</v>
      </c>
      <c r="G1316" t="s">
        <v>412</v>
      </c>
      <c r="H1316" t="s">
        <v>879</v>
      </c>
    </row>
    <row r="1317" spans="1:8">
      <c r="A1317" t="s">
        <v>140</v>
      </c>
      <c r="B1317">
        <v>2023</v>
      </c>
      <c r="C1317" t="s">
        <v>222</v>
      </c>
      <c r="D1317">
        <v>0</v>
      </c>
      <c r="E1317" t="s">
        <v>411</v>
      </c>
      <c r="F1317" t="s">
        <v>116</v>
      </c>
      <c r="G1317" t="s">
        <v>412</v>
      </c>
      <c r="H1317" t="s">
        <v>879</v>
      </c>
    </row>
    <row r="1318" spans="1:8">
      <c r="A1318" t="s">
        <v>165</v>
      </c>
      <c r="B1318">
        <v>2023</v>
      </c>
      <c r="C1318" t="s">
        <v>222</v>
      </c>
      <c r="D1318">
        <v>0.46</v>
      </c>
      <c r="E1318" t="s">
        <v>411</v>
      </c>
      <c r="F1318" t="s">
        <v>116</v>
      </c>
      <c r="G1318" t="s">
        <v>412</v>
      </c>
      <c r="H1318" t="s">
        <v>879</v>
      </c>
    </row>
    <row r="1319" spans="1:8">
      <c r="A1319" t="s">
        <v>138</v>
      </c>
      <c r="B1319">
        <v>2023</v>
      </c>
      <c r="C1319" t="s">
        <v>222</v>
      </c>
      <c r="D1319">
        <v>0</v>
      </c>
      <c r="E1319" t="s">
        <v>411</v>
      </c>
      <c r="F1319" t="s">
        <v>116</v>
      </c>
      <c r="G1319" t="s">
        <v>412</v>
      </c>
      <c r="H1319" t="s">
        <v>879</v>
      </c>
    </row>
    <row r="1320" spans="1:8">
      <c r="A1320" t="s">
        <v>166</v>
      </c>
      <c r="B1320">
        <v>2023</v>
      </c>
      <c r="C1320" t="s">
        <v>222</v>
      </c>
      <c r="D1320">
        <v>0.03</v>
      </c>
      <c r="E1320" t="s">
        <v>411</v>
      </c>
      <c r="F1320" t="s">
        <v>116</v>
      </c>
      <c r="G1320" t="s">
        <v>414</v>
      </c>
      <c r="H1320" t="s">
        <v>879</v>
      </c>
    </row>
    <row r="1321" spans="1:8">
      <c r="A1321" t="s">
        <v>167</v>
      </c>
      <c r="B1321">
        <v>2023</v>
      </c>
      <c r="C1321" t="s">
        <v>222</v>
      </c>
      <c r="D1321">
        <v>0.15</v>
      </c>
      <c r="E1321" t="s">
        <v>411</v>
      </c>
      <c r="F1321" t="s">
        <v>116</v>
      </c>
      <c r="G1321" t="s">
        <v>414</v>
      </c>
      <c r="H1321" t="s">
        <v>879</v>
      </c>
    </row>
    <row r="1322" spans="1:8">
      <c r="A1322" t="s">
        <v>138</v>
      </c>
      <c r="B1322">
        <v>2024</v>
      </c>
      <c r="C1322" t="s">
        <v>222</v>
      </c>
      <c r="D1322">
        <v>0.22</v>
      </c>
      <c r="E1322" t="s">
        <v>411</v>
      </c>
      <c r="F1322" t="s">
        <v>116</v>
      </c>
      <c r="G1322" t="s">
        <v>412</v>
      </c>
      <c r="H1322" t="s">
        <v>879</v>
      </c>
    </row>
    <row r="1323" spans="1:8">
      <c r="A1323" t="s">
        <v>122</v>
      </c>
      <c r="B1323">
        <v>2024</v>
      </c>
      <c r="C1323" t="s">
        <v>222</v>
      </c>
      <c r="D1323">
        <v>0.61</v>
      </c>
      <c r="E1323" t="s">
        <v>411</v>
      </c>
      <c r="F1323" t="s">
        <v>116</v>
      </c>
      <c r="G1323" t="s">
        <v>412</v>
      </c>
      <c r="H1323" t="s">
        <v>879</v>
      </c>
    </row>
    <row r="1324" spans="1:8">
      <c r="A1324" t="s">
        <v>123</v>
      </c>
      <c r="B1324">
        <v>2024</v>
      </c>
      <c r="C1324" t="s">
        <v>222</v>
      </c>
      <c r="D1324">
        <v>6.79</v>
      </c>
      <c r="E1324" t="s">
        <v>411</v>
      </c>
      <c r="F1324" t="s">
        <v>116</v>
      </c>
      <c r="G1324" t="s">
        <v>412</v>
      </c>
      <c r="H1324" t="s">
        <v>879</v>
      </c>
    </row>
    <row r="1325" spans="1:8">
      <c r="A1325" t="s">
        <v>164</v>
      </c>
      <c r="B1325">
        <v>2024</v>
      </c>
      <c r="C1325" t="s">
        <v>222</v>
      </c>
      <c r="D1325">
        <v>0.02</v>
      </c>
      <c r="E1325" t="s">
        <v>411</v>
      </c>
      <c r="F1325" t="s">
        <v>116</v>
      </c>
      <c r="G1325" t="s">
        <v>412</v>
      </c>
      <c r="H1325" t="s">
        <v>879</v>
      </c>
    </row>
    <row r="1326" spans="1:8">
      <c r="A1326" t="s">
        <v>140</v>
      </c>
      <c r="B1326">
        <v>2024</v>
      </c>
      <c r="C1326" t="s">
        <v>222</v>
      </c>
      <c r="D1326">
        <v>0</v>
      </c>
      <c r="E1326" t="s">
        <v>411</v>
      </c>
      <c r="F1326" t="s">
        <v>116</v>
      </c>
      <c r="G1326" t="s">
        <v>412</v>
      </c>
      <c r="H1326" t="s">
        <v>879</v>
      </c>
    </row>
    <row r="1327" spans="1:8">
      <c r="A1327" t="s">
        <v>165</v>
      </c>
      <c r="B1327">
        <v>2024</v>
      </c>
      <c r="C1327" t="s">
        <v>222</v>
      </c>
      <c r="D1327">
        <v>0.59</v>
      </c>
      <c r="E1327" t="s">
        <v>411</v>
      </c>
      <c r="F1327" t="s">
        <v>116</v>
      </c>
      <c r="G1327" t="s">
        <v>412</v>
      </c>
      <c r="H1327" t="s">
        <v>879</v>
      </c>
    </row>
    <row r="1328" spans="1:8">
      <c r="A1328" t="s">
        <v>138</v>
      </c>
      <c r="B1328">
        <v>2024</v>
      </c>
      <c r="C1328" t="s">
        <v>222</v>
      </c>
      <c r="D1328">
        <v>0</v>
      </c>
      <c r="E1328" t="s">
        <v>411</v>
      </c>
      <c r="F1328" t="s">
        <v>116</v>
      </c>
      <c r="G1328" t="s">
        <v>412</v>
      </c>
      <c r="H1328" t="s">
        <v>879</v>
      </c>
    </row>
    <row r="1329" spans="1:8">
      <c r="A1329" t="s">
        <v>166</v>
      </c>
      <c r="B1329">
        <v>2024</v>
      </c>
      <c r="C1329" t="s">
        <v>222</v>
      </c>
      <c r="D1329">
        <v>0.05</v>
      </c>
      <c r="E1329" t="s">
        <v>411</v>
      </c>
      <c r="F1329" t="s">
        <v>116</v>
      </c>
      <c r="G1329" t="s">
        <v>414</v>
      </c>
      <c r="H1329" t="s">
        <v>879</v>
      </c>
    </row>
    <row r="1330" spans="1:8">
      <c r="A1330" t="s">
        <v>167</v>
      </c>
      <c r="B1330">
        <v>2024</v>
      </c>
      <c r="C1330" t="s">
        <v>222</v>
      </c>
      <c r="D1330">
        <v>0.14000000000000001</v>
      </c>
      <c r="E1330" t="s">
        <v>411</v>
      </c>
      <c r="F1330" t="s">
        <v>116</v>
      </c>
      <c r="G1330" t="s">
        <v>414</v>
      </c>
      <c r="H1330" t="s">
        <v>879</v>
      </c>
    </row>
    <row r="1331" spans="1:8">
      <c r="A1331" t="s">
        <v>138</v>
      </c>
      <c r="B1331">
        <v>2025</v>
      </c>
      <c r="C1331" t="s">
        <v>222</v>
      </c>
      <c r="D1331">
        <v>0.22</v>
      </c>
      <c r="E1331" t="s">
        <v>411</v>
      </c>
      <c r="F1331" t="s">
        <v>116</v>
      </c>
      <c r="G1331" t="s">
        <v>412</v>
      </c>
      <c r="H1331" t="s">
        <v>879</v>
      </c>
    </row>
    <row r="1332" spans="1:8">
      <c r="A1332" t="s">
        <v>122</v>
      </c>
      <c r="B1332">
        <v>2025</v>
      </c>
      <c r="C1332" t="s">
        <v>222</v>
      </c>
      <c r="D1332">
        <v>0.12</v>
      </c>
      <c r="E1332" t="s">
        <v>411</v>
      </c>
      <c r="F1332" t="s">
        <v>116</v>
      </c>
      <c r="G1332" t="s">
        <v>412</v>
      </c>
      <c r="H1332" t="s">
        <v>879</v>
      </c>
    </row>
    <row r="1333" spans="1:8">
      <c r="A1333" t="s">
        <v>123</v>
      </c>
      <c r="B1333">
        <v>2025</v>
      </c>
      <c r="C1333" t="s">
        <v>222</v>
      </c>
      <c r="D1333">
        <v>6.74</v>
      </c>
      <c r="E1333" t="s">
        <v>411</v>
      </c>
      <c r="F1333" t="s">
        <v>116</v>
      </c>
      <c r="G1333" t="s">
        <v>412</v>
      </c>
      <c r="H1333" t="s">
        <v>879</v>
      </c>
    </row>
    <row r="1334" spans="1:8">
      <c r="A1334" t="s">
        <v>164</v>
      </c>
      <c r="B1334">
        <v>2025</v>
      </c>
      <c r="C1334" t="s">
        <v>222</v>
      </c>
      <c r="D1334">
        <v>0.02</v>
      </c>
      <c r="E1334" t="s">
        <v>411</v>
      </c>
      <c r="F1334" t="s">
        <v>116</v>
      </c>
      <c r="G1334" t="s">
        <v>412</v>
      </c>
      <c r="H1334" t="s">
        <v>879</v>
      </c>
    </row>
    <row r="1335" spans="1:8">
      <c r="A1335" t="s">
        <v>140</v>
      </c>
      <c r="B1335">
        <v>2025</v>
      </c>
      <c r="C1335" t="s">
        <v>222</v>
      </c>
      <c r="D1335">
        <v>0</v>
      </c>
      <c r="E1335" t="s">
        <v>411</v>
      </c>
      <c r="F1335" t="s">
        <v>116</v>
      </c>
      <c r="G1335" t="s">
        <v>412</v>
      </c>
      <c r="H1335" t="s">
        <v>879</v>
      </c>
    </row>
    <row r="1336" spans="1:8">
      <c r="A1336" t="s">
        <v>165</v>
      </c>
      <c r="B1336">
        <v>2025</v>
      </c>
      <c r="C1336" t="s">
        <v>222</v>
      </c>
      <c r="D1336">
        <v>0.61</v>
      </c>
      <c r="E1336" t="s">
        <v>411</v>
      </c>
      <c r="F1336" t="s">
        <v>116</v>
      </c>
      <c r="G1336" t="s">
        <v>412</v>
      </c>
      <c r="H1336" t="s">
        <v>879</v>
      </c>
    </row>
    <row r="1337" spans="1:8">
      <c r="A1337" t="s">
        <v>138</v>
      </c>
      <c r="B1337">
        <v>2025</v>
      </c>
      <c r="C1337" t="s">
        <v>222</v>
      </c>
      <c r="D1337">
        <v>0</v>
      </c>
      <c r="E1337" t="s">
        <v>411</v>
      </c>
      <c r="F1337" t="s">
        <v>116</v>
      </c>
      <c r="G1337" t="s">
        <v>412</v>
      </c>
      <c r="H1337" t="s">
        <v>879</v>
      </c>
    </row>
    <row r="1338" spans="1:8">
      <c r="A1338" t="s">
        <v>166</v>
      </c>
      <c r="B1338">
        <v>2025</v>
      </c>
      <c r="C1338" t="s">
        <v>222</v>
      </c>
      <c r="D1338">
        <v>7.0000000000000007E-2</v>
      </c>
      <c r="E1338" t="s">
        <v>411</v>
      </c>
      <c r="F1338" t="s">
        <v>116</v>
      </c>
      <c r="G1338" t="s">
        <v>414</v>
      </c>
      <c r="H1338" t="s">
        <v>879</v>
      </c>
    </row>
    <row r="1339" spans="1:8">
      <c r="A1339" t="s">
        <v>167</v>
      </c>
      <c r="B1339">
        <v>2025</v>
      </c>
      <c r="C1339" t="s">
        <v>222</v>
      </c>
      <c r="D1339">
        <v>0.14000000000000001</v>
      </c>
      <c r="E1339" t="s">
        <v>411</v>
      </c>
      <c r="F1339" t="s">
        <v>116</v>
      </c>
      <c r="G1339" t="s">
        <v>414</v>
      </c>
      <c r="H1339" t="s">
        <v>879</v>
      </c>
    </row>
    <row r="1340" spans="1:8">
      <c r="A1340" t="s">
        <v>166</v>
      </c>
      <c r="B1340">
        <v>2009</v>
      </c>
      <c r="C1340" t="s">
        <v>7</v>
      </c>
      <c r="D1340">
        <v>1.178E-3</v>
      </c>
      <c r="E1340" t="s">
        <v>411</v>
      </c>
      <c r="F1340" t="s">
        <v>63</v>
      </c>
      <c r="G1340" t="s">
        <v>414</v>
      </c>
      <c r="H1340" t="s">
        <v>879</v>
      </c>
    </row>
    <row r="1341" spans="1:8">
      <c r="A1341" t="s">
        <v>166</v>
      </c>
      <c r="B1341">
        <v>2010</v>
      </c>
      <c r="C1341" t="s">
        <v>7</v>
      </c>
      <c r="D1341">
        <v>1.323E-3</v>
      </c>
      <c r="E1341" t="s">
        <v>411</v>
      </c>
      <c r="F1341" t="s">
        <v>63</v>
      </c>
      <c r="G1341" t="s">
        <v>414</v>
      </c>
      <c r="H1341" t="s">
        <v>879</v>
      </c>
    </row>
    <row r="1342" spans="1:8">
      <c r="A1342" t="s">
        <v>166</v>
      </c>
      <c r="B1342">
        <v>2011</v>
      </c>
      <c r="C1342" t="s">
        <v>7</v>
      </c>
      <c r="D1342">
        <v>1.506E-3</v>
      </c>
      <c r="E1342" t="s">
        <v>411</v>
      </c>
      <c r="F1342" t="s">
        <v>63</v>
      </c>
      <c r="G1342" t="s">
        <v>414</v>
      </c>
      <c r="H1342" t="s">
        <v>879</v>
      </c>
    </row>
    <row r="1343" spans="1:8">
      <c r="A1343" t="s">
        <v>166</v>
      </c>
      <c r="B1343">
        <v>2012</v>
      </c>
      <c r="C1343" t="s">
        <v>7</v>
      </c>
      <c r="D1343">
        <v>1.7949999999999999E-3</v>
      </c>
      <c r="E1343" t="s">
        <v>411</v>
      </c>
      <c r="F1343" t="s">
        <v>63</v>
      </c>
      <c r="G1343" t="s">
        <v>414</v>
      </c>
      <c r="H1343" t="s">
        <v>879</v>
      </c>
    </row>
    <row r="1344" spans="1:8">
      <c r="A1344" t="s">
        <v>166</v>
      </c>
      <c r="B1344">
        <v>2013</v>
      </c>
      <c r="C1344" t="s">
        <v>7</v>
      </c>
      <c r="D1344">
        <v>2.1109999999999996E-3</v>
      </c>
      <c r="E1344" t="s">
        <v>411</v>
      </c>
      <c r="F1344" t="s">
        <v>63</v>
      </c>
      <c r="G1344" t="s">
        <v>414</v>
      </c>
      <c r="H1344" t="s">
        <v>879</v>
      </c>
    </row>
    <row r="1345" spans="1:8">
      <c r="A1345" t="s">
        <v>166</v>
      </c>
      <c r="B1345">
        <v>2014</v>
      </c>
      <c r="C1345" t="s">
        <v>7</v>
      </c>
      <c r="D1345">
        <v>3.1219999999999998E-3</v>
      </c>
      <c r="E1345" t="s">
        <v>411</v>
      </c>
      <c r="F1345" t="s">
        <v>63</v>
      </c>
      <c r="G1345" t="s">
        <v>414</v>
      </c>
      <c r="H1345" t="s">
        <v>879</v>
      </c>
    </row>
    <row r="1346" spans="1:8">
      <c r="A1346" t="s">
        <v>166</v>
      </c>
      <c r="B1346">
        <v>2015</v>
      </c>
      <c r="C1346" t="s">
        <v>7</v>
      </c>
      <c r="D1346">
        <v>5.0589999999999993E-3</v>
      </c>
      <c r="E1346" t="s">
        <v>411</v>
      </c>
      <c r="F1346" t="s">
        <v>63</v>
      </c>
      <c r="G1346" t="s">
        <v>414</v>
      </c>
      <c r="H1346" t="s">
        <v>879</v>
      </c>
    </row>
    <row r="1347" spans="1:8">
      <c r="A1347" t="s">
        <v>166</v>
      </c>
      <c r="B1347">
        <v>2016</v>
      </c>
      <c r="C1347" t="s">
        <v>7</v>
      </c>
      <c r="D1347">
        <v>1.2189999999999999E-2</v>
      </c>
      <c r="E1347" t="s">
        <v>411</v>
      </c>
      <c r="F1347" t="s">
        <v>63</v>
      </c>
      <c r="G1347" t="s">
        <v>414</v>
      </c>
      <c r="H1347" t="s">
        <v>879</v>
      </c>
    </row>
    <row r="1348" spans="1:8">
      <c r="A1348" t="s">
        <v>166</v>
      </c>
      <c r="B1348">
        <v>2017</v>
      </c>
      <c r="C1348" t="s">
        <v>7</v>
      </c>
      <c r="D1348">
        <v>3.0296E-2</v>
      </c>
      <c r="E1348" t="s">
        <v>411</v>
      </c>
      <c r="F1348" t="s">
        <v>63</v>
      </c>
      <c r="G1348" t="s">
        <v>414</v>
      </c>
      <c r="H1348" t="s">
        <v>879</v>
      </c>
    </row>
    <row r="1349" spans="1:8">
      <c r="A1349" t="s">
        <v>166</v>
      </c>
      <c r="B1349">
        <v>2018</v>
      </c>
      <c r="C1349" t="s">
        <v>7</v>
      </c>
      <c r="D1349">
        <v>5.5978E-2</v>
      </c>
      <c r="E1349" t="s">
        <v>411</v>
      </c>
      <c r="F1349" t="s">
        <v>63</v>
      </c>
      <c r="G1349" t="s">
        <v>414</v>
      </c>
      <c r="H1349" t="s">
        <v>879</v>
      </c>
    </row>
    <row r="1350" spans="1:8">
      <c r="A1350" t="s">
        <v>166</v>
      </c>
      <c r="B1350">
        <v>2019</v>
      </c>
      <c r="C1350" t="s">
        <v>7</v>
      </c>
      <c r="D1350">
        <v>0.102196</v>
      </c>
      <c r="E1350" t="s">
        <v>411</v>
      </c>
      <c r="F1350" t="s">
        <v>63</v>
      </c>
      <c r="G1350" t="s">
        <v>414</v>
      </c>
      <c r="H1350" t="s">
        <v>879</v>
      </c>
    </row>
    <row r="1351" spans="1:8">
      <c r="A1351" t="s">
        <v>166</v>
      </c>
      <c r="B1351">
        <v>2020</v>
      </c>
      <c r="C1351" t="s">
        <v>7</v>
      </c>
      <c r="D1351">
        <v>0.16278499999999999</v>
      </c>
      <c r="E1351" t="s">
        <v>411</v>
      </c>
      <c r="F1351" t="s">
        <v>63</v>
      </c>
      <c r="G1351" t="s">
        <v>414</v>
      </c>
      <c r="H1351" t="s">
        <v>879</v>
      </c>
    </row>
    <row r="1352" spans="1:8">
      <c r="A1352" t="s">
        <v>166</v>
      </c>
      <c r="B1352">
        <v>2021</v>
      </c>
      <c r="C1352" t="s">
        <v>7</v>
      </c>
      <c r="D1352">
        <v>0.247223</v>
      </c>
      <c r="E1352" t="s">
        <v>411</v>
      </c>
      <c r="F1352" t="s">
        <v>63</v>
      </c>
      <c r="G1352" t="s">
        <v>414</v>
      </c>
      <c r="H1352" t="s">
        <v>879</v>
      </c>
    </row>
    <row r="1353" spans="1:8">
      <c r="A1353" t="s">
        <v>166</v>
      </c>
      <c r="B1353">
        <v>2022</v>
      </c>
      <c r="C1353" t="s">
        <v>7</v>
      </c>
      <c r="D1353">
        <v>0.34458</v>
      </c>
      <c r="E1353" t="s">
        <v>411</v>
      </c>
      <c r="F1353" t="s">
        <v>63</v>
      </c>
      <c r="G1353" t="s">
        <v>414</v>
      </c>
      <c r="H1353" t="s">
        <v>879</v>
      </c>
    </row>
    <row r="1354" spans="1:8">
      <c r="A1354" t="s">
        <v>166</v>
      </c>
      <c r="B1354">
        <v>2023</v>
      </c>
      <c r="C1354" t="s">
        <v>7</v>
      </c>
      <c r="D1354">
        <v>0.88817599999999997</v>
      </c>
      <c r="E1354" t="s">
        <v>411</v>
      </c>
      <c r="F1354" t="s">
        <v>63</v>
      </c>
      <c r="G1354" t="s">
        <v>414</v>
      </c>
      <c r="H1354" t="s">
        <v>879</v>
      </c>
    </row>
    <row r="1355" spans="1:8">
      <c r="A1355" t="s">
        <v>166</v>
      </c>
      <c r="B1355">
        <v>2024</v>
      </c>
      <c r="C1355" t="s">
        <v>7</v>
      </c>
      <c r="D1355">
        <v>1.3403260000000001</v>
      </c>
      <c r="E1355" t="s">
        <v>411</v>
      </c>
      <c r="F1355" t="s">
        <v>63</v>
      </c>
      <c r="G1355" t="s">
        <v>414</v>
      </c>
      <c r="H1355" t="s">
        <v>879</v>
      </c>
    </row>
    <row r="1356" spans="1:8">
      <c r="A1356" t="s">
        <v>166</v>
      </c>
      <c r="B1356">
        <v>2009</v>
      </c>
      <c r="C1356" t="s">
        <v>135</v>
      </c>
      <c r="D1356">
        <v>4.2400000000000001E-4</v>
      </c>
      <c r="E1356" t="s">
        <v>411</v>
      </c>
      <c r="F1356" t="s">
        <v>73</v>
      </c>
      <c r="G1356" t="s">
        <v>414</v>
      </c>
      <c r="H1356" t="s">
        <v>879</v>
      </c>
    </row>
    <row r="1357" spans="1:8">
      <c r="A1357" t="s">
        <v>166</v>
      </c>
      <c r="B1357">
        <v>2010</v>
      </c>
      <c r="C1357" t="s">
        <v>135</v>
      </c>
      <c r="D1357">
        <v>4.7599999999999997E-4</v>
      </c>
      <c r="E1357" t="s">
        <v>411</v>
      </c>
      <c r="F1357" t="s">
        <v>73</v>
      </c>
      <c r="G1357" t="s">
        <v>414</v>
      </c>
      <c r="H1357" t="s">
        <v>879</v>
      </c>
    </row>
    <row r="1358" spans="1:8">
      <c r="A1358" t="s">
        <v>166</v>
      </c>
      <c r="B1358">
        <v>2011</v>
      </c>
      <c r="C1358" t="s">
        <v>135</v>
      </c>
      <c r="D1358">
        <v>5.4200000000000006E-4</v>
      </c>
      <c r="E1358" t="s">
        <v>411</v>
      </c>
      <c r="F1358" t="s">
        <v>73</v>
      </c>
      <c r="G1358" t="s">
        <v>414</v>
      </c>
      <c r="H1358" t="s">
        <v>879</v>
      </c>
    </row>
    <row r="1359" spans="1:8">
      <c r="A1359" t="s">
        <v>166</v>
      </c>
      <c r="B1359">
        <v>2012</v>
      </c>
      <c r="C1359" t="s">
        <v>135</v>
      </c>
      <c r="D1359">
        <v>6.4500000000000007E-4</v>
      </c>
      <c r="E1359" t="s">
        <v>411</v>
      </c>
      <c r="F1359" t="s">
        <v>73</v>
      </c>
      <c r="G1359" t="s">
        <v>414</v>
      </c>
      <c r="H1359" t="s">
        <v>879</v>
      </c>
    </row>
    <row r="1360" spans="1:8">
      <c r="A1360" t="s">
        <v>166</v>
      </c>
      <c r="B1360">
        <v>2013</v>
      </c>
      <c r="C1360" t="s">
        <v>135</v>
      </c>
      <c r="D1360">
        <v>8.2799999999999996E-4</v>
      </c>
      <c r="E1360" t="s">
        <v>411</v>
      </c>
      <c r="F1360" t="s">
        <v>73</v>
      </c>
      <c r="G1360" t="s">
        <v>414</v>
      </c>
      <c r="H1360" t="s">
        <v>879</v>
      </c>
    </row>
    <row r="1361" spans="1:8">
      <c r="A1361" t="s">
        <v>166</v>
      </c>
      <c r="B1361">
        <v>2014</v>
      </c>
      <c r="C1361" t="s">
        <v>135</v>
      </c>
      <c r="D1361">
        <v>1.129E-3</v>
      </c>
      <c r="E1361" t="s">
        <v>411</v>
      </c>
      <c r="F1361" t="s">
        <v>73</v>
      </c>
      <c r="G1361" t="s">
        <v>414</v>
      </c>
      <c r="H1361" t="s">
        <v>879</v>
      </c>
    </row>
    <row r="1362" spans="1:8">
      <c r="A1362" t="s">
        <v>166</v>
      </c>
      <c r="B1362">
        <v>2015</v>
      </c>
      <c r="C1362" t="s">
        <v>135</v>
      </c>
      <c r="D1362">
        <v>2.0459999999999996E-3</v>
      </c>
      <c r="E1362" t="s">
        <v>411</v>
      </c>
      <c r="F1362" t="s">
        <v>73</v>
      </c>
      <c r="G1362" t="s">
        <v>414</v>
      </c>
      <c r="H1362" t="s">
        <v>879</v>
      </c>
    </row>
    <row r="1363" spans="1:8">
      <c r="A1363" t="s">
        <v>166</v>
      </c>
      <c r="B1363">
        <v>2016</v>
      </c>
      <c r="C1363" t="s">
        <v>135</v>
      </c>
      <c r="D1363">
        <v>4.7359999999999998E-3</v>
      </c>
      <c r="E1363" t="s">
        <v>411</v>
      </c>
      <c r="F1363" t="s">
        <v>73</v>
      </c>
      <c r="G1363" t="s">
        <v>414</v>
      </c>
      <c r="H1363" t="s">
        <v>879</v>
      </c>
    </row>
    <row r="1364" spans="1:8">
      <c r="A1364" t="s">
        <v>166</v>
      </c>
      <c r="B1364">
        <v>2017</v>
      </c>
      <c r="C1364" t="s">
        <v>135</v>
      </c>
      <c r="D1364">
        <v>9.9509999999999998E-3</v>
      </c>
      <c r="E1364" t="s">
        <v>411</v>
      </c>
      <c r="F1364" t="s">
        <v>73</v>
      </c>
      <c r="G1364" t="s">
        <v>414</v>
      </c>
      <c r="H1364" t="s">
        <v>879</v>
      </c>
    </row>
    <row r="1365" spans="1:8">
      <c r="A1365" t="s">
        <v>166</v>
      </c>
      <c r="B1365">
        <v>2018</v>
      </c>
      <c r="C1365" t="s">
        <v>135</v>
      </c>
      <c r="D1365">
        <v>1.8151E-2</v>
      </c>
      <c r="E1365" t="s">
        <v>411</v>
      </c>
      <c r="F1365" t="s">
        <v>73</v>
      </c>
      <c r="G1365" t="s">
        <v>414</v>
      </c>
      <c r="H1365" t="s">
        <v>879</v>
      </c>
    </row>
    <row r="1366" spans="1:8">
      <c r="A1366" t="s">
        <v>166</v>
      </c>
      <c r="B1366">
        <v>2019</v>
      </c>
      <c r="C1366" t="s">
        <v>135</v>
      </c>
      <c r="D1366">
        <v>3.3811000000000001E-2</v>
      </c>
      <c r="E1366" t="s">
        <v>411</v>
      </c>
      <c r="F1366" t="s">
        <v>73</v>
      </c>
      <c r="G1366" t="s">
        <v>414</v>
      </c>
      <c r="H1366" t="s">
        <v>879</v>
      </c>
    </row>
    <row r="1367" spans="1:8">
      <c r="A1367" t="s">
        <v>166</v>
      </c>
      <c r="B1367">
        <v>2020</v>
      </c>
      <c r="C1367" t="s">
        <v>135</v>
      </c>
      <c r="D1367">
        <v>5.5113999999999996E-2</v>
      </c>
      <c r="E1367" t="s">
        <v>411</v>
      </c>
      <c r="F1367" t="s">
        <v>73</v>
      </c>
      <c r="G1367" t="s">
        <v>414</v>
      </c>
      <c r="H1367" t="s">
        <v>879</v>
      </c>
    </row>
    <row r="1368" spans="1:8">
      <c r="A1368" t="s">
        <v>166</v>
      </c>
      <c r="B1368">
        <v>2021</v>
      </c>
      <c r="C1368" t="s">
        <v>135</v>
      </c>
      <c r="D1368">
        <v>8.4647E-2</v>
      </c>
      <c r="E1368" t="s">
        <v>411</v>
      </c>
      <c r="F1368" t="s">
        <v>73</v>
      </c>
      <c r="G1368" t="s">
        <v>414</v>
      </c>
      <c r="H1368" t="s">
        <v>879</v>
      </c>
    </row>
    <row r="1369" spans="1:8">
      <c r="A1369" t="s">
        <v>166</v>
      </c>
      <c r="B1369">
        <v>2022</v>
      </c>
      <c r="C1369" t="s">
        <v>135</v>
      </c>
      <c r="D1369">
        <v>0.14866499999999999</v>
      </c>
      <c r="E1369" t="s">
        <v>411</v>
      </c>
      <c r="F1369" t="s">
        <v>73</v>
      </c>
      <c r="G1369" t="s">
        <v>414</v>
      </c>
      <c r="H1369" t="s">
        <v>879</v>
      </c>
    </row>
    <row r="1370" spans="1:8">
      <c r="A1370" t="s">
        <v>166</v>
      </c>
      <c r="B1370">
        <v>2023</v>
      </c>
      <c r="C1370" t="s">
        <v>135</v>
      </c>
      <c r="D1370">
        <v>0.646482</v>
      </c>
      <c r="E1370" t="s">
        <v>411</v>
      </c>
      <c r="F1370" t="s">
        <v>73</v>
      </c>
      <c r="G1370" t="s">
        <v>414</v>
      </c>
      <c r="H1370" t="s">
        <v>879</v>
      </c>
    </row>
    <row r="1371" spans="1:8">
      <c r="A1371" t="s">
        <v>167</v>
      </c>
      <c r="B1371">
        <v>2000</v>
      </c>
      <c r="C1371" t="s">
        <v>7</v>
      </c>
      <c r="D1371">
        <v>0.11650000000000001</v>
      </c>
      <c r="E1371" t="s">
        <v>411</v>
      </c>
      <c r="F1371" t="s">
        <v>63</v>
      </c>
      <c r="G1371" t="s">
        <v>414</v>
      </c>
      <c r="H1371" t="s">
        <v>879</v>
      </c>
    </row>
    <row r="1372" spans="1:8">
      <c r="A1372" t="s">
        <v>167</v>
      </c>
      <c r="B1372">
        <v>2001</v>
      </c>
      <c r="C1372" t="s">
        <v>7</v>
      </c>
      <c r="D1372">
        <v>0.12290000000000001</v>
      </c>
      <c r="E1372" t="s">
        <v>411</v>
      </c>
      <c r="F1372" t="s">
        <v>63</v>
      </c>
      <c r="G1372" t="s">
        <v>414</v>
      </c>
      <c r="H1372" t="s">
        <v>879</v>
      </c>
    </row>
    <row r="1373" spans="1:8">
      <c r="A1373" t="s">
        <v>167</v>
      </c>
      <c r="B1373">
        <v>2002</v>
      </c>
      <c r="C1373" t="s">
        <v>7</v>
      </c>
      <c r="D1373">
        <v>0.1348</v>
      </c>
      <c r="E1373" t="s">
        <v>411</v>
      </c>
      <c r="F1373" t="s">
        <v>63</v>
      </c>
      <c r="G1373" t="s">
        <v>414</v>
      </c>
      <c r="H1373" t="s">
        <v>879</v>
      </c>
    </row>
    <row r="1374" spans="1:8">
      <c r="A1374" t="s">
        <v>167</v>
      </c>
      <c r="B1374">
        <v>2003</v>
      </c>
      <c r="C1374" t="s">
        <v>7</v>
      </c>
      <c r="D1374">
        <v>0.21030000000000001</v>
      </c>
      <c r="E1374" t="s">
        <v>411</v>
      </c>
      <c r="F1374" t="s">
        <v>63</v>
      </c>
      <c r="G1374" t="s">
        <v>414</v>
      </c>
      <c r="H1374" t="s">
        <v>879</v>
      </c>
    </row>
    <row r="1375" spans="1:8">
      <c r="A1375" t="s">
        <v>167</v>
      </c>
      <c r="B1375">
        <v>2004</v>
      </c>
      <c r="C1375" t="s">
        <v>7</v>
      </c>
      <c r="D1375">
        <v>0.31119999999999998</v>
      </c>
      <c r="E1375" t="s">
        <v>411</v>
      </c>
      <c r="F1375" t="s">
        <v>63</v>
      </c>
      <c r="G1375" t="s">
        <v>414</v>
      </c>
      <c r="H1375" t="s">
        <v>879</v>
      </c>
    </row>
    <row r="1376" spans="1:8">
      <c r="A1376" t="s">
        <v>167</v>
      </c>
      <c r="B1376">
        <v>2005</v>
      </c>
      <c r="C1376" t="s">
        <v>7</v>
      </c>
      <c r="D1376">
        <v>0.46810000000000002</v>
      </c>
      <c r="E1376" t="s">
        <v>411</v>
      </c>
      <c r="F1376" t="s">
        <v>63</v>
      </c>
      <c r="G1376" t="s">
        <v>414</v>
      </c>
      <c r="H1376" t="s">
        <v>879</v>
      </c>
    </row>
    <row r="1377" spans="1:8">
      <c r="A1377" t="s">
        <v>167</v>
      </c>
      <c r="B1377">
        <v>2006</v>
      </c>
      <c r="C1377" t="s">
        <v>7</v>
      </c>
      <c r="D1377">
        <v>0.65129999999999999</v>
      </c>
      <c r="E1377" t="s">
        <v>411</v>
      </c>
      <c r="F1377" t="s">
        <v>63</v>
      </c>
      <c r="G1377" t="s">
        <v>414</v>
      </c>
      <c r="H1377" t="s">
        <v>879</v>
      </c>
    </row>
    <row r="1378" spans="1:8">
      <c r="A1378" t="s">
        <v>167</v>
      </c>
      <c r="B1378">
        <v>2007</v>
      </c>
      <c r="C1378" t="s">
        <v>7</v>
      </c>
      <c r="D1378">
        <v>0.71529999999999994</v>
      </c>
      <c r="E1378" t="s">
        <v>411</v>
      </c>
      <c r="F1378" t="s">
        <v>63</v>
      </c>
      <c r="G1378" t="s">
        <v>414</v>
      </c>
      <c r="H1378" t="s">
        <v>879</v>
      </c>
    </row>
    <row r="1379" spans="1:8">
      <c r="A1379" t="s">
        <v>167</v>
      </c>
      <c r="B1379">
        <v>2008</v>
      </c>
      <c r="C1379" t="s">
        <v>7</v>
      </c>
      <c r="D1379">
        <v>0.91710000000000003</v>
      </c>
      <c r="E1379" t="s">
        <v>411</v>
      </c>
      <c r="F1379" t="s">
        <v>63</v>
      </c>
      <c r="G1379" t="s">
        <v>414</v>
      </c>
      <c r="H1379" t="s">
        <v>879</v>
      </c>
    </row>
    <row r="1380" spans="1:8">
      <c r="A1380" t="s">
        <v>167</v>
      </c>
      <c r="B1380">
        <v>2009</v>
      </c>
      <c r="C1380" t="s">
        <v>7</v>
      </c>
      <c r="D1380">
        <v>1.2261</v>
      </c>
      <c r="E1380" t="s">
        <v>411</v>
      </c>
      <c r="F1380" t="s">
        <v>63</v>
      </c>
      <c r="G1380" t="s">
        <v>414</v>
      </c>
      <c r="H1380" t="s">
        <v>879</v>
      </c>
    </row>
    <row r="1381" spans="1:8">
      <c r="A1381" t="s">
        <v>167</v>
      </c>
      <c r="B1381">
        <v>2010</v>
      </c>
      <c r="C1381" t="s">
        <v>7</v>
      </c>
      <c r="D1381">
        <v>1.3652</v>
      </c>
      <c r="E1381" t="s">
        <v>411</v>
      </c>
      <c r="F1381" t="s">
        <v>63</v>
      </c>
      <c r="G1381" t="s">
        <v>414</v>
      </c>
      <c r="H1381" t="s">
        <v>879</v>
      </c>
    </row>
    <row r="1382" spans="1:8">
      <c r="A1382" t="s">
        <v>167</v>
      </c>
      <c r="B1382">
        <v>2011</v>
      </c>
      <c r="C1382" t="s">
        <v>7</v>
      </c>
      <c r="D1382">
        <v>1.5594000000000001</v>
      </c>
      <c r="E1382" t="s">
        <v>411</v>
      </c>
      <c r="F1382" t="s">
        <v>63</v>
      </c>
      <c r="G1382" t="s">
        <v>414</v>
      </c>
      <c r="H1382" t="s">
        <v>879</v>
      </c>
    </row>
    <row r="1383" spans="1:8">
      <c r="A1383" t="s">
        <v>167</v>
      </c>
      <c r="B1383">
        <v>2012</v>
      </c>
      <c r="C1383" t="s">
        <v>7</v>
      </c>
      <c r="D1383">
        <v>1.6791500000000001</v>
      </c>
      <c r="E1383" t="s">
        <v>411</v>
      </c>
      <c r="F1383" t="s">
        <v>63</v>
      </c>
      <c r="G1383" t="s">
        <v>414</v>
      </c>
      <c r="H1383" t="s">
        <v>879</v>
      </c>
    </row>
    <row r="1384" spans="1:8">
      <c r="A1384" t="s">
        <v>167</v>
      </c>
      <c r="B1384">
        <v>2013</v>
      </c>
      <c r="C1384" t="s">
        <v>7</v>
      </c>
      <c r="D1384">
        <v>1.8980999999999999</v>
      </c>
      <c r="E1384" t="s">
        <v>411</v>
      </c>
      <c r="F1384" t="s">
        <v>63</v>
      </c>
      <c r="G1384" t="s">
        <v>414</v>
      </c>
      <c r="H1384" t="s">
        <v>879</v>
      </c>
    </row>
    <row r="1385" spans="1:8">
      <c r="A1385" t="s">
        <v>167</v>
      </c>
      <c r="B1385">
        <v>2014</v>
      </c>
      <c r="C1385" t="s">
        <v>7</v>
      </c>
      <c r="D1385">
        <v>2.2580500000000003</v>
      </c>
      <c r="E1385" t="s">
        <v>411</v>
      </c>
      <c r="F1385" t="s">
        <v>63</v>
      </c>
      <c r="G1385" t="s">
        <v>414</v>
      </c>
      <c r="H1385" t="s">
        <v>879</v>
      </c>
    </row>
    <row r="1386" spans="1:8">
      <c r="A1386" t="s">
        <v>167</v>
      </c>
      <c r="B1386">
        <v>2015</v>
      </c>
      <c r="C1386" t="s">
        <v>7</v>
      </c>
      <c r="D1386">
        <v>2.4259499999999998</v>
      </c>
      <c r="E1386" t="s">
        <v>411</v>
      </c>
      <c r="F1386" t="s">
        <v>63</v>
      </c>
      <c r="G1386" t="s">
        <v>414</v>
      </c>
      <c r="H1386" t="s">
        <v>879</v>
      </c>
    </row>
    <row r="1387" spans="1:8">
      <c r="A1387" t="s">
        <v>167</v>
      </c>
      <c r="B1387">
        <v>2016</v>
      </c>
      <c r="C1387" t="s">
        <v>7</v>
      </c>
      <c r="D1387">
        <v>2.7764499999999996</v>
      </c>
      <c r="E1387" t="s">
        <v>411</v>
      </c>
      <c r="F1387" t="s">
        <v>63</v>
      </c>
      <c r="G1387" t="s">
        <v>414</v>
      </c>
      <c r="H1387" t="s">
        <v>879</v>
      </c>
    </row>
    <row r="1388" spans="1:8">
      <c r="A1388" t="s">
        <v>167</v>
      </c>
      <c r="B1388">
        <v>2017</v>
      </c>
      <c r="C1388" t="s">
        <v>7</v>
      </c>
      <c r="D1388">
        <v>3.2939499999999997</v>
      </c>
      <c r="E1388" t="s">
        <v>411</v>
      </c>
      <c r="F1388" t="s">
        <v>63</v>
      </c>
      <c r="G1388" t="s">
        <v>414</v>
      </c>
      <c r="H1388" t="s">
        <v>879</v>
      </c>
    </row>
    <row r="1389" spans="1:8">
      <c r="A1389" t="s">
        <v>167</v>
      </c>
      <c r="B1389">
        <v>2018</v>
      </c>
      <c r="C1389" t="s">
        <v>7</v>
      </c>
      <c r="D1389">
        <v>3.6486499999999999</v>
      </c>
      <c r="E1389" t="s">
        <v>411</v>
      </c>
      <c r="F1389" t="s">
        <v>63</v>
      </c>
      <c r="G1389" t="s">
        <v>414</v>
      </c>
      <c r="H1389" t="s">
        <v>879</v>
      </c>
    </row>
    <row r="1390" spans="1:8">
      <c r="A1390" t="s">
        <v>167</v>
      </c>
      <c r="B1390">
        <v>2019</v>
      </c>
      <c r="C1390" t="s">
        <v>7</v>
      </c>
      <c r="D1390">
        <v>4.1012500000000003</v>
      </c>
      <c r="E1390" t="s">
        <v>411</v>
      </c>
      <c r="F1390" t="s">
        <v>63</v>
      </c>
      <c r="G1390" t="s">
        <v>414</v>
      </c>
      <c r="H1390" t="s">
        <v>879</v>
      </c>
    </row>
    <row r="1391" spans="1:8">
      <c r="A1391" t="s">
        <v>167</v>
      </c>
      <c r="B1391">
        <v>2020</v>
      </c>
      <c r="C1391" t="s">
        <v>7</v>
      </c>
      <c r="D1391">
        <v>4.2815000000000003</v>
      </c>
      <c r="E1391" t="s">
        <v>411</v>
      </c>
      <c r="F1391" t="s">
        <v>63</v>
      </c>
      <c r="G1391" t="s">
        <v>414</v>
      </c>
      <c r="H1391" t="s">
        <v>879</v>
      </c>
    </row>
    <row r="1392" spans="1:8">
      <c r="A1392" t="s">
        <v>167</v>
      </c>
      <c r="B1392">
        <v>2021</v>
      </c>
      <c r="C1392" t="s">
        <v>7</v>
      </c>
      <c r="D1392">
        <v>4.313841</v>
      </c>
      <c r="E1392" t="s">
        <v>411</v>
      </c>
      <c r="F1392" t="s">
        <v>63</v>
      </c>
      <c r="G1392" t="s">
        <v>414</v>
      </c>
      <c r="H1392" t="s">
        <v>879</v>
      </c>
    </row>
    <row r="1393" spans="1:8">
      <c r="A1393" t="s">
        <v>167</v>
      </c>
      <c r="B1393">
        <v>2022</v>
      </c>
      <c r="C1393" t="s">
        <v>7</v>
      </c>
      <c r="D1393">
        <v>4.5109309999999994</v>
      </c>
      <c r="E1393" t="s">
        <v>411</v>
      </c>
      <c r="F1393" t="s">
        <v>63</v>
      </c>
      <c r="G1393" t="s">
        <v>414</v>
      </c>
      <c r="H1393" t="s">
        <v>879</v>
      </c>
    </row>
    <row r="1394" spans="1:8">
      <c r="A1394" t="s">
        <v>167</v>
      </c>
      <c r="B1394">
        <v>2023</v>
      </c>
      <c r="C1394" t="s">
        <v>7</v>
      </c>
      <c r="D1394">
        <v>4.7140510000000004</v>
      </c>
      <c r="E1394" t="s">
        <v>411</v>
      </c>
      <c r="F1394" t="s">
        <v>63</v>
      </c>
      <c r="G1394" t="s">
        <v>414</v>
      </c>
      <c r="H1394" t="s">
        <v>879</v>
      </c>
    </row>
    <row r="1395" spans="1:8">
      <c r="A1395" t="s">
        <v>167</v>
      </c>
      <c r="B1395">
        <v>2024</v>
      </c>
      <c r="C1395" t="s">
        <v>7</v>
      </c>
      <c r="D1395">
        <v>4.9167510000000005</v>
      </c>
      <c r="E1395" t="s">
        <v>411</v>
      </c>
      <c r="F1395" t="s">
        <v>63</v>
      </c>
      <c r="G1395" t="s">
        <v>414</v>
      </c>
      <c r="H1395" t="s">
        <v>879</v>
      </c>
    </row>
    <row r="1396" spans="1:8">
      <c r="A1396" t="s">
        <v>167</v>
      </c>
      <c r="B1396">
        <v>2000</v>
      </c>
      <c r="C1396" t="s">
        <v>135</v>
      </c>
      <c r="D1396">
        <v>0.24805000000000002</v>
      </c>
      <c r="E1396" t="s">
        <v>411</v>
      </c>
      <c r="F1396" t="s">
        <v>73</v>
      </c>
      <c r="G1396" t="s">
        <v>414</v>
      </c>
      <c r="H1396" t="s">
        <v>879</v>
      </c>
    </row>
    <row r="1397" spans="1:8">
      <c r="A1397" t="s">
        <v>167</v>
      </c>
      <c r="B1397">
        <v>2001</v>
      </c>
      <c r="C1397" t="s">
        <v>135</v>
      </c>
      <c r="D1397">
        <v>0.33954399999999996</v>
      </c>
      <c r="E1397" t="s">
        <v>411</v>
      </c>
      <c r="F1397" t="s">
        <v>73</v>
      </c>
      <c r="G1397" t="s">
        <v>414</v>
      </c>
      <c r="H1397" t="s">
        <v>879</v>
      </c>
    </row>
    <row r="1398" spans="1:8">
      <c r="A1398" t="s">
        <v>167</v>
      </c>
      <c r="B1398">
        <v>2002</v>
      </c>
      <c r="C1398" t="s">
        <v>135</v>
      </c>
      <c r="D1398">
        <v>0.39444099999999999</v>
      </c>
      <c r="E1398" t="s">
        <v>411</v>
      </c>
      <c r="F1398" t="s">
        <v>73</v>
      </c>
      <c r="G1398" t="s">
        <v>414</v>
      </c>
      <c r="H1398" t="s">
        <v>879</v>
      </c>
    </row>
    <row r="1399" spans="1:8">
      <c r="A1399" t="s">
        <v>167</v>
      </c>
      <c r="B1399">
        <v>2003</v>
      </c>
      <c r="C1399" t="s">
        <v>135</v>
      </c>
      <c r="D1399">
        <v>0.461536</v>
      </c>
      <c r="E1399" t="s">
        <v>411</v>
      </c>
      <c r="F1399" t="s">
        <v>73</v>
      </c>
      <c r="G1399" t="s">
        <v>414</v>
      </c>
      <c r="H1399" t="s">
        <v>879</v>
      </c>
    </row>
    <row r="1400" spans="1:8">
      <c r="A1400" t="s">
        <v>167</v>
      </c>
      <c r="B1400">
        <v>2004</v>
      </c>
      <c r="C1400" t="s">
        <v>135</v>
      </c>
      <c r="D1400">
        <v>0.58587300000000009</v>
      </c>
      <c r="E1400" t="s">
        <v>411</v>
      </c>
      <c r="F1400" t="s">
        <v>73</v>
      </c>
      <c r="G1400" t="s">
        <v>414</v>
      </c>
      <c r="H1400" t="s">
        <v>879</v>
      </c>
    </row>
    <row r="1401" spans="1:8">
      <c r="A1401" t="s">
        <v>167</v>
      </c>
      <c r="B1401">
        <v>2005</v>
      </c>
      <c r="C1401" t="s">
        <v>135</v>
      </c>
      <c r="D1401">
        <v>1.050368</v>
      </c>
      <c r="E1401" t="s">
        <v>411</v>
      </c>
      <c r="F1401" t="s">
        <v>73</v>
      </c>
      <c r="G1401" t="s">
        <v>414</v>
      </c>
      <c r="H1401" t="s">
        <v>879</v>
      </c>
    </row>
    <row r="1402" spans="1:8">
      <c r="A1402" t="s">
        <v>167</v>
      </c>
      <c r="B1402">
        <v>2006</v>
      </c>
      <c r="C1402" t="s">
        <v>135</v>
      </c>
      <c r="D1402">
        <v>1.568967</v>
      </c>
      <c r="E1402" t="s">
        <v>411</v>
      </c>
      <c r="F1402" t="s">
        <v>73</v>
      </c>
      <c r="G1402" t="s">
        <v>414</v>
      </c>
      <c r="H1402" t="s">
        <v>879</v>
      </c>
    </row>
    <row r="1403" spans="1:8">
      <c r="A1403" t="s">
        <v>167</v>
      </c>
      <c r="B1403">
        <v>2007</v>
      </c>
      <c r="C1403" t="s">
        <v>135</v>
      </c>
      <c r="D1403">
        <v>1.9108800000000001</v>
      </c>
      <c r="E1403" t="s">
        <v>411</v>
      </c>
      <c r="F1403" t="s">
        <v>73</v>
      </c>
      <c r="G1403" t="s">
        <v>414</v>
      </c>
      <c r="H1403" t="s">
        <v>879</v>
      </c>
    </row>
    <row r="1404" spans="1:8">
      <c r="A1404" t="s">
        <v>167</v>
      </c>
      <c r="B1404">
        <v>2008</v>
      </c>
      <c r="C1404" t="s">
        <v>135</v>
      </c>
      <c r="D1404">
        <v>2.3700189999999997</v>
      </c>
      <c r="E1404" t="s">
        <v>411</v>
      </c>
      <c r="F1404" t="s">
        <v>73</v>
      </c>
      <c r="G1404" t="s">
        <v>414</v>
      </c>
      <c r="H1404" t="s">
        <v>879</v>
      </c>
    </row>
    <row r="1405" spans="1:8">
      <c r="A1405" t="s">
        <v>167</v>
      </c>
      <c r="B1405">
        <v>2009</v>
      </c>
      <c r="C1405" t="s">
        <v>135</v>
      </c>
      <c r="D1405">
        <v>2.924274</v>
      </c>
      <c r="E1405" t="s">
        <v>411</v>
      </c>
      <c r="F1405" t="s">
        <v>73</v>
      </c>
      <c r="G1405" t="s">
        <v>414</v>
      </c>
      <c r="H1405" t="s">
        <v>879</v>
      </c>
    </row>
    <row r="1406" spans="1:8">
      <c r="A1406" t="s">
        <v>167</v>
      </c>
      <c r="B1406">
        <v>2010</v>
      </c>
      <c r="C1406" t="s">
        <v>135</v>
      </c>
      <c r="D1406">
        <v>2.7813820000000002</v>
      </c>
      <c r="E1406" t="s">
        <v>411</v>
      </c>
      <c r="F1406" t="s">
        <v>73</v>
      </c>
      <c r="G1406" t="s">
        <v>414</v>
      </c>
      <c r="H1406" t="s">
        <v>879</v>
      </c>
    </row>
    <row r="1407" spans="1:8">
      <c r="A1407" t="s">
        <v>167</v>
      </c>
      <c r="B1407">
        <v>2011</v>
      </c>
      <c r="C1407" t="s">
        <v>135</v>
      </c>
      <c r="D1407">
        <v>4.3710279999999999</v>
      </c>
      <c r="E1407" t="s">
        <v>411</v>
      </c>
      <c r="F1407" t="s">
        <v>73</v>
      </c>
      <c r="G1407" t="s">
        <v>414</v>
      </c>
      <c r="H1407" t="s">
        <v>879</v>
      </c>
    </row>
    <row r="1408" spans="1:8">
      <c r="A1408" t="s">
        <v>167</v>
      </c>
      <c r="B1408">
        <v>2012</v>
      </c>
      <c r="C1408" t="s">
        <v>135</v>
      </c>
      <c r="D1408">
        <v>4.0088679999999997</v>
      </c>
      <c r="E1408" t="s">
        <v>411</v>
      </c>
      <c r="F1408" t="s">
        <v>73</v>
      </c>
      <c r="G1408" t="s">
        <v>414</v>
      </c>
      <c r="H1408" t="s">
        <v>879</v>
      </c>
    </row>
    <row r="1409" spans="1:8">
      <c r="A1409" t="s">
        <v>167</v>
      </c>
      <c r="B1409">
        <v>2013</v>
      </c>
      <c r="C1409" t="s">
        <v>135</v>
      </c>
      <c r="D1409">
        <v>4.5387070000000005</v>
      </c>
      <c r="E1409" t="s">
        <v>411</v>
      </c>
      <c r="F1409" t="s">
        <v>73</v>
      </c>
      <c r="G1409" t="s">
        <v>414</v>
      </c>
      <c r="H1409" t="s">
        <v>879</v>
      </c>
    </row>
    <row r="1410" spans="1:8">
      <c r="A1410" t="s">
        <v>167</v>
      </c>
      <c r="B1410">
        <v>2014</v>
      </c>
      <c r="C1410" t="s">
        <v>135</v>
      </c>
      <c r="D1410">
        <v>5.1439820000000003</v>
      </c>
      <c r="E1410" t="s">
        <v>411</v>
      </c>
      <c r="F1410" t="s">
        <v>73</v>
      </c>
      <c r="G1410" t="s">
        <v>414</v>
      </c>
      <c r="H1410" t="s">
        <v>879</v>
      </c>
    </row>
    <row r="1411" spans="1:8">
      <c r="A1411" t="s">
        <v>167</v>
      </c>
      <c r="B1411">
        <v>2015</v>
      </c>
      <c r="C1411" t="s">
        <v>135</v>
      </c>
      <c r="D1411">
        <v>6.6005069999999995</v>
      </c>
      <c r="E1411" t="s">
        <v>411</v>
      </c>
      <c r="F1411" t="s">
        <v>73</v>
      </c>
      <c r="G1411" t="s">
        <v>414</v>
      </c>
      <c r="H1411" t="s">
        <v>879</v>
      </c>
    </row>
    <row r="1412" spans="1:8">
      <c r="A1412" t="s">
        <v>167</v>
      </c>
      <c r="B1412">
        <v>2016</v>
      </c>
      <c r="C1412" t="s">
        <v>135</v>
      </c>
      <c r="D1412">
        <v>6.1675510000000004</v>
      </c>
      <c r="E1412" t="s">
        <v>411</v>
      </c>
      <c r="F1412" t="s">
        <v>73</v>
      </c>
      <c r="G1412" t="s">
        <v>414</v>
      </c>
      <c r="H1412" t="s">
        <v>879</v>
      </c>
    </row>
    <row r="1413" spans="1:8">
      <c r="A1413" t="s">
        <v>167</v>
      </c>
      <c r="B1413">
        <v>2017</v>
      </c>
      <c r="C1413" t="s">
        <v>135</v>
      </c>
      <c r="D1413">
        <v>7.4860040000000003</v>
      </c>
      <c r="E1413" t="s">
        <v>411</v>
      </c>
      <c r="F1413" t="s">
        <v>73</v>
      </c>
      <c r="G1413" t="s">
        <v>414</v>
      </c>
      <c r="H1413" t="s">
        <v>879</v>
      </c>
    </row>
    <row r="1414" spans="1:8">
      <c r="A1414" t="s">
        <v>167</v>
      </c>
      <c r="B1414">
        <v>2018</v>
      </c>
      <c r="C1414" t="s">
        <v>135</v>
      </c>
      <c r="D1414">
        <v>8.7015270000000005</v>
      </c>
      <c r="E1414" t="s">
        <v>411</v>
      </c>
      <c r="F1414" t="s">
        <v>73</v>
      </c>
      <c r="G1414" t="s">
        <v>414</v>
      </c>
      <c r="H1414" t="s">
        <v>879</v>
      </c>
    </row>
    <row r="1415" spans="1:8">
      <c r="A1415" t="s">
        <v>167</v>
      </c>
      <c r="B1415">
        <v>2019</v>
      </c>
      <c r="C1415" t="s">
        <v>135</v>
      </c>
      <c r="D1415">
        <v>10.103945</v>
      </c>
      <c r="E1415" t="s">
        <v>411</v>
      </c>
      <c r="F1415" t="s">
        <v>73</v>
      </c>
      <c r="G1415" t="s">
        <v>414</v>
      </c>
      <c r="H1415" t="s">
        <v>879</v>
      </c>
    </row>
    <row r="1416" spans="1:8">
      <c r="A1416" t="s">
        <v>167</v>
      </c>
      <c r="B1416">
        <v>2020</v>
      </c>
      <c r="C1416" t="s">
        <v>135</v>
      </c>
      <c r="D1416">
        <v>11.659253000000001</v>
      </c>
      <c r="E1416" t="s">
        <v>411</v>
      </c>
      <c r="F1416" t="s">
        <v>73</v>
      </c>
      <c r="G1416" t="s">
        <v>414</v>
      </c>
      <c r="H1416" t="s">
        <v>879</v>
      </c>
    </row>
    <row r="1417" spans="1:8">
      <c r="A1417" t="s">
        <v>167</v>
      </c>
      <c r="B1417">
        <v>2021</v>
      </c>
      <c r="C1417" t="s">
        <v>135</v>
      </c>
      <c r="D1417">
        <v>9.8587050000000005</v>
      </c>
      <c r="E1417" t="s">
        <v>411</v>
      </c>
      <c r="F1417" t="s">
        <v>73</v>
      </c>
      <c r="G1417" t="s">
        <v>414</v>
      </c>
      <c r="H1417" t="s">
        <v>879</v>
      </c>
    </row>
    <row r="1418" spans="1:8">
      <c r="A1418" t="s">
        <v>167</v>
      </c>
      <c r="B1418">
        <v>2022</v>
      </c>
      <c r="C1418" t="s">
        <v>135</v>
      </c>
      <c r="D1418">
        <v>11.312491</v>
      </c>
      <c r="E1418" t="s">
        <v>411</v>
      </c>
      <c r="F1418" t="s">
        <v>73</v>
      </c>
      <c r="G1418" t="s">
        <v>414</v>
      </c>
      <c r="H1418" t="s">
        <v>879</v>
      </c>
    </row>
    <row r="1419" spans="1:8">
      <c r="A1419" t="s">
        <v>167</v>
      </c>
      <c r="B1419">
        <v>2023</v>
      </c>
      <c r="C1419" t="s">
        <v>135</v>
      </c>
      <c r="D1419">
        <v>11.782352000000001</v>
      </c>
      <c r="E1419" t="s">
        <v>411</v>
      </c>
      <c r="F1419" t="s">
        <v>73</v>
      </c>
      <c r="G1419" t="s">
        <v>414</v>
      </c>
      <c r="H1419" t="s">
        <v>879</v>
      </c>
    </row>
    <row r="1420" spans="1:8">
      <c r="A1420" t="s">
        <v>168</v>
      </c>
      <c r="B1420">
        <v>2004</v>
      </c>
      <c r="C1420" t="s">
        <v>7</v>
      </c>
      <c r="D1420">
        <v>2.52E-2</v>
      </c>
      <c r="E1420" t="s">
        <v>411</v>
      </c>
      <c r="F1420" t="s">
        <v>63</v>
      </c>
      <c r="G1420" t="s">
        <v>414</v>
      </c>
      <c r="H1420" t="s">
        <v>879</v>
      </c>
    </row>
    <row r="1421" spans="1:8">
      <c r="A1421" t="s">
        <v>168</v>
      </c>
      <c r="B1421">
        <v>2005</v>
      </c>
      <c r="C1421" t="s">
        <v>7</v>
      </c>
      <c r="D1421">
        <v>2.52E-2</v>
      </c>
      <c r="E1421" t="s">
        <v>411</v>
      </c>
      <c r="F1421" t="s">
        <v>63</v>
      </c>
      <c r="G1421" t="s">
        <v>414</v>
      </c>
      <c r="H1421" t="s">
        <v>879</v>
      </c>
    </row>
    <row r="1422" spans="1:8">
      <c r="A1422" t="s">
        <v>168</v>
      </c>
      <c r="B1422">
        <v>2006</v>
      </c>
      <c r="C1422" t="s">
        <v>7</v>
      </c>
      <c r="D1422">
        <v>2.52E-2</v>
      </c>
      <c r="E1422" t="s">
        <v>411</v>
      </c>
      <c r="F1422" t="s">
        <v>63</v>
      </c>
      <c r="G1422" t="s">
        <v>414</v>
      </c>
      <c r="H1422" t="s">
        <v>879</v>
      </c>
    </row>
    <row r="1423" spans="1:8">
      <c r="A1423" t="s">
        <v>168</v>
      </c>
      <c r="B1423">
        <v>2007</v>
      </c>
      <c r="C1423" t="s">
        <v>7</v>
      </c>
      <c r="D1423">
        <v>2.52E-2</v>
      </c>
      <c r="E1423" t="s">
        <v>411</v>
      </c>
      <c r="F1423" t="s">
        <v>63</v>
      </c>
      <c r="G1423" t="s">
        <v>414</v>
      </c>
      <c r="H1423" t="s">
        <v>879</v>
      </c>
    </row>
    <row r="1424" spans="1:8">
      <c r="A1424" t="s">
        <v>168</v>
      </c>
      <c r="B1424">
        <v>2008</v>
      </c>
      <c r="C1424" t="s">
        <v>7</v>
      </c>
      <c r="D1424">
        <v>2.52E-2</v>
      </c>
      <c r="E1424" t="s">
        <v>411</v>
      </c>
      <c r="F1424" t="s">
        <v>63</v>
      </c>
      <c r="G1424" t="s">
        <v>414</v>
      </c>
      <c r="H1424" t="s">
        <v>879</v>
      </c>
    </row>
    <row r="1425" spans="1:8">
      <c r="A1425" t="s">
        <v>168</v>
      </c>
      <c r="B1425">
        <v>2009</v>
      </c>
      <c r="C1425" t="s">
        <v>7</v>
      </c>
      <c r="D1425">
        <v>2.52E-2</v>
      </c>
      <c r="E1425" t="s">
        <v>411</v>
      </c>
      <c r="F1425" t="s">
        <v>63</v>
      </c>
      <c r="G1425" t="s">
        <v>414</v>
      </c>
      <c r="H1425" t="s">
        <v>879</v>
      </c>
    </row>
    <row r="1426" spans="1:8">
      <c r="A1426" t="s">
        <v>168</v>
      </c>
      <c r="B1426">
        <v>2010</v>
      </c>
      <c r="C1426" t="s">
        <v>7</v>
      </c>
      <c r="D1426">
        <v>2.52E-2</v>
      </c>
      <c r="E1426" t="s">
        <v>411</v>
      </c>
      <c r="F1426" t="s">
        <v>63</v>
      </c>
      <c r="G1426" t="s">
        <v>414</v>
      </c>
      <c r="H1426" t="s">
        <v>879</v>
      </c>
    </row>
    <row r="1427" spans="1:8">
      <c r="A1427" t="s">
        <v>168</v>
      </c>
      <c r="B1427">
        <v>2011</v>
      </c>
      <c r="C1427" t="s">
        <v>7</v>
      </c>
      <c r="D1427">
        <v>2.52E-2</v>
      </c>
      <c r="E1427" t="s">
        <v>411</v>
      </c>
      <c r="F1427" t="s">
        <v>63</v>
      </c>
      <c r="G1427" t="s">
        <v>414</v>
      </c>
      <c r="H1427" t="s">
        <v>879</v>
      </c>
    </row>
    <row r="1428" spans="1:8">
      <c r="A1428" t="s">
        <v>168</v>
      </c>
      <c r="B1428">
        <v>2012</v>
      </c>
      <c r="C1428" t="s">
        <v>7</v>
      </c>
      <c r="D1428">
        <v>2.52E-2</v>
      </c>
      <c r="E1428" t="s">
        <v>411</v>
      </c>
      <c r="F1428" t="s">
        <v>63</v>
      </c>
      <c r="G1428" t="s">
        <v>414</v>
      </c>
      <c r="H1428" t="s">
        <v>879</v>
      </c>
    </row>
    <row r="1429" spans="1:8">
      <c r="A1429" t="s">
        <v>168</v>
      </c>
      <c r="B1429">
        <v>2013</v>
      </c>
      <c r="C1429" t="s">
        <v>7</v>
      </c>
      <c r="D1429">
        <v>2.52E-2</v>
      </c>
      <c r="E1429" t="s">
        <v>411</v>
      </c>
      <c r="F1429" t="s">
        <v>63</v>
      </c>
      <c r="G1429" t="s">
        <v>414</v>
      </c>
      <c r="H1429" t="s">
        <v>879</v>
      </c>
    </row>
    <row r="1430" spans="1:8">
      <c r="A1430" t="s">
        <v>168</v>
      </c>
      <c r="B1430">
        <v>2014</v>
      </c>
      <c r="C1430" t="s">
        <v>7</v>
      </c>
      <c r="D1430">
        <v>2.52E-2</v>
      </c>
      <c r="E1430" t="s">
        <v>411</v>
      </c>
      <c r="F1430" t="s">
        <v>63</v>
      </c>
      <c r="G1430" t="s">
        <v>414</v>
      </c>
      <c r="H1430" t="s">
        <v>879</v>
      </c>
    </row>
    <row r="1431" spans="1:8">
      <c r="A1431" t="s">
        <v>168</v>
      </c>
      <c r="B1431">
        <v>2015</v>
      </c>
      <c r="C1431" t="s">
        <v>7</v>
      </c>
      <c r="D1431">
        <v>2.52E-2</v>
      </c>
      <c r="E1431" t="s">
        <v>411</v>
      </c>
      <c r="F1431" t="s">
        <v>63</v>
      </c>
      <c r="G1431" t="s">
        <v>414</v>
      </c>
      <c r="H1431" t="s">
        <v>879</v>
      </c>
    </row>
    <row r="1432" spans="1:8">
      <c r="A1432" t="s">
        <v>168</v>
      </c>
      <c r="B1432">
        <v>2016</v>
      </c>
      <c r="C1432" t="s">
        <v>7</v>
      </c>
      <c r="D1432">
        <v>2.52E-2</v>
      </c>
      <c r="E1432" t="s">
        <v>411</v>
      </c>
      <c r="F1432" t="s">
        <v>63</v>
      </c>
      <c r="G1432" t="s">
        <v>414</v>
      </c>
      <c r="H1432" t="s">
        <v>879</v>
      </c>
    </row>
    <row r="1433" spans="1:8">
      <c r="A1433" t="s">
        <v>168</v>
      </c>
      <c r="B1433">
        <v>2017</v>
      </c>
      <c r="C1433" t="s">
        <v>7</v>
      </c>
      <c r="D1433">
        <v>2.52E-2</v>
      </c>
      <c r="E1433" t="s">
        <v>411</v>
      </c>
      <c r="F1433" t="s">
        <v>63</v>
      </c>
      <c r="G1433" t="s">
        <v>414</v>
      </c>
      <c r="H1433" t="s">
        <v>879</v>
      </c>
    </row>
    <row r="1434" spans="1:8">
      <c r="A1434" t="s">
        <v>168</v>
      </c>
      <c r="B1434">
        <v>2018</v>
      </c>
      <c r="C1434" t="s">
        <v>7</v>
      </c>
      <c r="D1434">
        <v>2.52E-2</v>
      </c>
      <c r="E1434" t="s">
        <v>411</v>
      </c>
      <c r="F1434" t="s">
        <v>63</v>
      </c>
      <c r="G1434" t="s">
        <v>414</v>
      </c>
      <c r="H1434" t="s">
        <v>879</v>
      </c>
    </row>
    <row r="1435" spans="1:8">
      <c r="A1435" t="s">
        <v>168</v>
      </c>
      <c r="B1435">
        <v>2019</v>
      </c>
      <c r="C1435" t="s">
        <v>7</v>
      </c>
      <c r="D1435">
        <v>2.52E-2</v>
      </c>
      <c r="E1435" t="s">
        <v>411</v>
      </c>
      <c r="F1435" t="s">
        <v>63</v>
      </c>
      <c r="G1435" t="s">
        <v>414</v>
      </c>
      <c r="H1435" t="s">
        <v>879</v>
      </c>
    </row>
    <row r="1436" spans="1:8">
      <c r="A1436" t="s">
        <v>168</v>
      </c>
      <c r="B1436">
        <v>2020</v>
      </c>
      <c r="C1436" t="s">
        <v>7</v>
      </c>
      <c r="D1436">
        <v>2.52E-2</v>
      </c>
      <c r="E1436" t="s">
        <v>411</v>
      </c>
      <c r="F1436" t="s">
        <v>63</v>
      </c>
      <c r="G1436" t="s">
        <v>414</v>
      </c>
      <c r="H1436" t="s">
        <v>879</v>
      </c>
    </row>
    <row r="1437" spans="1:8">
      <c r="A1437" t="s">
        <v>168</v>
      </c>
      <c r="B1437">
        <v>2021</v>
      </c>
      <c r="C1437" t="s">
        <v>7</v>
      </c>
      <c r="D1437">
        <v>2.52E-2</v>
      </c>
      <c r="E1437" t="s">
        <v>411</v>
      </c>
      <c r="F1437" t="s">
        <v>63</v>
      </c>
      <c r="G1437" t="s">
        <v>414</v>
      </c>
      <c r="H1437" t="s">
        <v>879</v>
      </c>
    </row>
    <row r="1438" spans="1:8">
      <c r="A1438" t="s">
        <v>168</v>
      </c>
      <c r="B1438">
        <v>2022</v>
      </c>
      <c r="C1438" t="s">
        <v>7</v>
      </c>
      <c r="D1438">
        <v>2.52E-2</v>
      </c>
      <c r="E1438" t="s">
        <v>411</v>
      </c>
      <c r="F1438" t="s">
        <v>63</v>
      </c>
      <c r="G1438" t="s">
        <v>414</v>
      </c>
      <c r="H1438" t="s">
        <v>879</v>
      </c>
    </row>
    <row r="1439" spans="1:8">
      <c r="A1439" t="s">
        <v>168</v>
      </c>
      <c r="B1439">
        <v>2023</v>
      </c>
      <c r="C1439" t="s">
        <v>7</v>
      </c>
      <c r="D1439">
        <v>2.52E-2</v>
      </c>
      <c r="E1439" t="s">
        <v>411</v>
      </c>
      <c r="F1439" t="s">
        <v>63</v>
      </c>
      <c r="G1439" t="s">
        <v>414</v>
      </c>
      <c r="H1439" t="s">
        <v>879</v>
      </c>
    </row>
    <row r="1440" spans="1:8">
      <c r="A1440" t="s">
        <v>168</v>
      </c>
      <c r="B1440">
        <v>2024</v>
      </c>
      <c r="C1440" t="s">
        <v>7</v>
      </c>
      <c r="D1440">
        <v>2.52E-2</v>
      </c>
      <c r="E1440" t="s">
        <v>411</v>
      </c>
      <c r="F1440" t="s">
        <v>63</v>
      </c>
      <c r="G1440" t="s">
        <v>414</v>
      </c>
      <c r="H1440" t="s">
        <v>879</v>
      </c>
    </row>
    <row r="1441" spans="1:8">
      <c r="A1441" t="s">
        <v>168</v>
      </c>
      <c r="B1441">
        <v>2004</v>
      </c>
      <c r="C1441" t="s">
        <v>135</v>
      </c>
      <c r="D1441">
        <v>0.08</v>
      </c>
      <c r="E1441" t="s">
        <v>411</v>
      </c>
      <c r="F1441" t="s">
        <v>73</v>
      </c>
      <c r="G1441" t="s">
        <v>414</v>
      </c>
      <c r="H1441" t="s">
        <v>879</v>
      </c>
    </row>
    <row r="1442" spans="1:8">
      <c r="A1442" t="s">
        <v>168</v>
      </c>
      <c r="B1442">
        <v>2005</v>
      </c>
      <c r="C1442" t="s">
        <v>135</v>
      </c>
      <c r="D1442">
        <v>0.08</v>
      </c>
      <c r="E1442" t="s">
        <v>411</v>
      </c>
      <c r="F1442" t="s">
        <v>73</v>
      </c>
      <c r="G1442" t="s">
        <v>414</v>
      </c>
      <c r="H1442" t="s">
        <v>879</v>
      </c>
    </row>
    <row r="1443" spans="1:8">
      <c r="A1443" t="s">
        <v>168</v>
      </c>
      <c r="B1443">
        <v>2006</v>
      </c>
      <c r="C1443" t="s">
        <v>135</v>
      </c>
      <c r="D1443">
        <v>0.08</v>
      </c>
      <c r="E1443" t="s">
        <v>411</v>
      </c>
      <c r="F1443" t="s">
        <v>73</v>
      </c>
      <c r="G1443" t="s">
        <v>414</v>
      </c>
      <c r="H1443" t="s">
        <v>879</v>
      </c>
    </row>
    <row r="1444" spans="1:8">
      <c r="A1444" t="s">
        <v>168</v>
      </c>
      <c r="B1444">
        <v>2007</v>
      </c>
      <c r="C1444" t="s">
        <v>135</v>
      </c>
      <c r="D1444">
        <v>0.08</v>
      </c>
      <c r="E1444" t="s">
        <v>411</v>
      </c>
      <c r="F1444" t="s">
        <v>73</v>
      </c>
      <c r="G1444" t="s">
        <v>414</v>
      </c>
      <c r="H1444" t="s">
        <v>879</v>
      </c>
    </row>
    <row r="1445" spans="1:8">
      <c r="A1445" t="s">
        <v>168</v>
      </c>
      <c r="B1445">
        <v>2008</v>
      </c>
      <c r="C1445" t="s">
        <v>135</v>
      </c>
      <c r="D1445">
        <v>0.08</v>
      </c>
      <c r="E1445" t="s">
        <v>411</v>
      </c>
      <c r="F1445" t="s">
        <v>73</v>
      </c>
      <c r="G1445" t="s">
        <v>414</v>
      </c>
      <c r="H1445" t="s">
        <v>879</v>
      </c>
    </row>
    <row r="1446" spans="1:8">
      <c r="A1446" t="s">
        <v>168</v>
      </c>
      <c r="B1446">
        <v>2009</v>
      </c>
      <c r="C1446" t="s">
        <v>135</v>
      </c>
      <c r="D1446">
        <v>0.08</v>
      </c>
      <c r="E1446" t="s">
        <v>411</v>
      </c>
      <c r="F1446" t="s">
        <v>73</v>
      </c>
      <c r="G1446" t="s">
        <v>414</v>
      </c>
      <c r="H1446" t="s">
        <v>879</v>
      </c>
    </row>
    <row r="1447" spans="1:8">
      <c r="A1447" t="s">
        <v>168</v>
      </c>
      <c r="B1447">
        <v>2010</v>
      </c>
      <c r="C1447" t="s">
        <v>135</v>
      </c>
      <c r="D1447">
        <v>0.08</v>
      </c>
      <c r="E1447" t="s">
        <v>411</v>
      </c>
      <c r="F1447" t="s">
        <v>73</v>
      </c>
      <c r="G1447" t="s">
        <v>414</v>
      </c>
      <c r="H1447" t="s">
        <v>879</v>
      </c>
    </row>
    <row r="1448" spans="1:8">
      <c r="A1448" t="s">
        <v>168</v>
      </c>
      <c r="B1448">
        <v>2011</v>
      </c>
      <c r="C1448" t="s">
        <v>135</v>
      </c>
      <c r="D1448">
        <v>8.2000000000000003E-2</v>
      </c>
      <c r="E1448" t="s">
        <v>411</v>
      </c>
      <c r="F1448" t="s">
        <v>73</v>
      </c>
      <c r="G1448" t="s">
        <v>414</v>
      </c>
      <c r="H1448" t="s">
        <v>879</v>
      </c>
    </row>
    <row r="1449" spans="1:8">
      <c r="A1449" t="s">
        <v>168</v>
      </c>
      <c r="B1449">
        <v>2012</v>
      </c>
      <c r="C1449" t="s">
        <v>135</v>
      </c>
      <c r="D1449">
        <v>6.8000000000000005E-2</v>
      </c>
      <c r="E1449" t="s">
        <v>411</v>
      </c>
      <c r="F1449" t="s">
        <v>73</v>
      </c>
      <c r="G1449" t="s">
        <v>414</v>
      </c>
      <c r="H1449" t="s">
        <v>879</v>
      </c>
    </row>
    <row r="1450" spans="1:8">
      <c r="A1450" t="s">
        <v>168</v>
      </c>
      <c r="B1450">
        <v>2013</v>
      </c>
      <c r="C1450" t="s">
        <v>135</v>
      </c>
      <c r="D1450">
        <v>7.8E-2</v>
      </c>
      <c r="E1450" t="s">
        <v>411</v>
      </c>
      <c r="F1450" t="s">
        <v>73</v>
      </c>
      <c r="G1450" t="s">
        <v>414</v>
      </c>
      <c r="H1450" t="s">
        <v>879</v>
      </c>
    </row>
    <row r="1451" spans="1:8">
      <c r="A1451" t="s">
        <v>168</v>
      </c>
      <c r="B1451">
        <v>2014</v>
      </c>
      <c r="C1451" t="s">
        <v>135</v>
      </c>
      <c r="D1451">
        <v>8.1000000000000003E-2</v>
      </c>
      <c r="E1451" t="s">
        <v>411</v>
      </c>
      <c r="F1451" t="s">
        <v>73</v>
      </c>
      <c r="G1451" t="s">
        <v>414</v>
      </c>
      <c r="H1451" t="s">
        <v>879</v>
      </c>
    </row>
    <row r="1452" spans="1:8">
      <c r="A1452" t="s">
        <v>168</v>
      </c>
      <c r="B1452">
        <v>2015</v>
      </c>
      <c r="C1452" t="s">
        <v>135</v>
      </c>
      <c r="D1452">
        <v>8.1000000000000003E-2</v>
      </c>
      <c r="E1452" t="s">
        <v>411</v>
      </c>
      <c r="F1452" t="s">
        <v>73</v>
      </c>
      <c r="G1452" t="s">
        <v>414</v>
      </c>
      <c r="H1452" t="s">
        <v>879</v>
      </c>
    </row>
    <row r="1453" spans="1:8">
      <c r="A1453" t="s">
        <v>168</v>
      </c>
      <c r="B1453">
        <v>2016</v>
      </c>
      <c r="C1453" t="s">
        <v>135</v>
      </c>
      <c r="D1453">
        <v>8.1000000000000003E-2</v>
      </c>
      <c r="E1453" t="s">
        <v>411</v>
      </c>
      <c r="F1453" t="s">
        <v>73</v>
      </c>
      <c r="G1453" t="s">
        <v>414</v>
      </c>
      <c r="H1453" t="s">
        <v>879</v>
      </c>
    </row>
    <row r="1454" spans="1:8">
      <c r="A1454" t="s">
        <v>168</v>
      </c>
      <c r="B1454">
        <v>2017</v>
      </c>
      <c r="C1454" t="s">
        <v>135</v>
      </c>
      <c r="D1454">
        <v>8.1000000000000003E-2</v>
      </c>
      <c r="E1454" t="s">
        <v>411</v>
      </c>
      <c r="F1454" t="s">
        <v>73</v>
      </c>
      <c r="G1454" t="s">
        <v>414</v>
      </c>
      <c r="H1454" t="s">
        <v>879</v>
      </c>
    </row>
    <row r="1455" spans="1:8">
      <c r="A1455" t="s">
        <v>168</v>
      </c>
      <c r="B1455">
        <v>2018</v>
      </c>
      <c r="C1455" t="s">
        <v>135</v>
      </c>
      <c r="D1455">
        <v>8.1000000000000003E-2</v>
      </c>
      <c r="E1455" t="s">
        <v>411</v>
      </c>
      <c r="F1455" t="s">
        <v>73</v>
      </c>
      <c r="G1455" t="s">
        <v>414</v>
      </c>
      <c r="H1455" t="s">
        <v>879</v>
      </c>
    </row>
    <row r="1456" spans="1:8">
      <c r="A1456" t="s">
        <v>168</v>
      </c>
      <c r="B1456">
        <v>2019</v>
      </c>
      <c r="C1456" t="s">
        <v>135</v>
      </c>
      <c r="D1456">
        <v>8.1000000000000003E-2</v>
      </c>
      <c r="E1456" t="s">
        <v>411</v>
      </c>
      <c r="F1456" t="s">
        <v>73</v>
      </c>
      <c r="G1456" t="s">
        <v>414</v>
      </c>
      <c r="H1456" t="s">
        <v>879</v>
      </c>
    </row>
    <row r="1457" spans="1:8">
      <c r="A1457" t="s">
        <v>168</v>
      </c>
      <c r="B1457">
        <v>2020</v>
      </c>
      <c r="C1457" t="s">
        <v>135</v>
      </c>
      <c r="D1457">
        <v>8.1000000000000003E-2</v>
      </c>
      <c r="E1457" t="s">
        <v>411</v>
      </c>
      <c r="F1457" t="s">
        <v>73</v>
      </c>
      <c r="G1457" t="s">
        <v>414</v>
      </c>
      <c r="H1457" t="s">
        <v>879</v>
      </c>
    </row>
    <row r="1458" spans="1:8">
      <c r="A1458" t="s">
        <v>168</v>
      </c>
      <c r="B1458">
        <v>2021</v>
      </c>
      <c r="C1458" t="s">
        <v>135</v>
      </c>
      <c r="D1458">
        <v>8.1000000000000003E-2</v>
      </c>
      <c r="E1458" t="s">
        <v>411</v>
      </c>
      <c r="F1458" t="s">
        <v>73</v>
      </c>
      <c r="G1458" t="s">
        <v>414</v>
      </c>
      <c r="H1458" t="s">
        <v>879</v>
      </c>
    </row>
    <row r="1459" spans="1:8">
      <c r="A1459" t="s">
        <v>168</v>
      </c>
      <c r="B1459">
        <v>2022</v>
      </c>
      <c r="C1459" t="s">
        <v>135</v>
      </c>
      <c r="D1459">
        <v>8.1000000000000003E-2</v>
      </c>
      <c r="E1459" t="s">
        <v>411</v>
      </c>
      <c r="F1459" t="s">
        <v>73</v>
      </c>
      <c r="G1459" t="s">
        <v>414</v>
      </c>
      <c r="H1459" t="s">
        <v>879</v>
      </c>
    </row>
    <row r="1460" spans="1:8">
      <c r="A1460" t="s">
        <v>168</v>
      </c>
      <c r="B1460">
        <v>2023</v>
      </c>
      <c r="C1460" t="s">
        <v>135</v>
      </c>
      <c r="D1460">
        <v>8.1000000000000003E-2</v>
      </c>
      <c r="E1460" t="s">
        <v>411</v>
      </c>
      <c r="F1460" t="s">
        <v>73</v>
      </c>
      <c r="G1460" t="s">
        <v>414</v>
      </c>
      <c r="H1460" t="s">
        <v>879</v>
      </c>
    </row>
    <row r="1461" spans="1:8">
      <c r="A1461" t="s">
        <v>138</v>
      </c>
      <c r="B1461">
        <v>2000</v>
      </c>
      <c r="C1461" t="s">
        <v>7</v>
      </c>
      <c r="D1461">
        <v>1.4999999999999999E-2</v>
      </c>
      <c r="E1461" t="s">
        <v>411</v>
      </c>
      <c r="F1461" t="s">
        <v>63</v>
      </c>
      <c r="G1461" t="s">
        <v>412</v>
      </c>
      <c r="H1461" t="s">
        <v>879</v>
      </c>
    </row>
    <row r="1462" spans="1:8">
      <c r="A1462" t="s">
        <v>138</v>
      </c>
      <c r="B1462">
        <v>2001</v>
      </c>
      <c r="C1462" t="s">
        <v>7</v>
      </c>
      <c r="D1462">
        <v>1.4999999999999999E-2</v>
      </c>
      <c r="E1462" t="s">
        <v>411</v>
      </c>
      <c r="F1462" t="s">
        <v>63</v>
      </c>
      <c r="G1462" t="s">
        <v>412</v>
      </c>
      <c r="H1462" t="s">
        <v>879</v>
      </c>
    </row>
    <row r="1463" spans="1:8">
      <c r="A1463" t="s">
        <v>138</v>
      </c>
      <c r="B1463">
        <v>2002</v>
      </c>
      <c r="C1463" t="s">
        <v>7</v>
      </c>
      <c r="D1463">
        <v>1.4999999999999999E-2</v>
      </c>
      <c r="E1463" t="s">
        <v>411</v>
      </c>
      <c r="F1463" t="s">
        <v>63</v>
      </c>
      <c r="G1463" t="s">
        <v>412</v>
      </c>
      <c r="H1463" t="s">
        <v>879</v>
      </c>
    </row>
    <row r="1464" spans="1:8">
      <c r="A1464" t="s">
        <v>138</v>
      </c>
      <c r="B1464">
        <v>2003</v>
      </c>
      <c r="C1464" t="s">
        <v>7</v>
      </c>
      <c r="D1464">
        <v>1.4999999999999999E-2</v>
      </c>
      <c r="E1464" t="s">
        <v>411</v>
      </c>
      <c r="F1464" t="s">
        <v>63</v>
      </c>
      <c r="G1464" t="s">
        <v>412</v>
      </c>
      <c r="H1464" t="s">
        <v>879</v>
      </c>
    </row>
    <row r="1465" spans="1:8">
      <c r="A1465" t="s">
        <v>138</v>
      </c>
      <c r="B1465">
        <v>2004</v>
      </c>
      <c r="C1465" t="s">
        <v>7</v>
      </c>
      <c r="D1465">
        <v>1.4999999999999999E-2</v>
      </c>
      <c r="E1465" t="s">
        <v>411</v>
      </c>
      <c r="F1465" t="s">
        <v>63</v>
      </c>
      <c r="G1465" t="s">
        <v>412</v>
      </c>
      <c r="H1465" t="s">
        <v>879</v>
      </c>
    </row>
    <row r="1466" spans="1:8">
      <c r="A1466" t="s">
        <v>138</v>
      </c>
      <c r="B1466">
        <v>2005</v>
      </c>
      <c r="C1466" t="s">
        <v>7</v>
      </c>
      <c r="D1466">
        <v>1.7999999999999999E-2</v>
      </c>
      <c r="E1466" t="s">
        <v>411</v>
      </c>
      <c r="F1466" t="s">
        <v>63</v>
      </c>
      <c r="G1466" t="s">
        <v>412</v>
      </c>
      <c r="H1466" t="s">
        <v>879</v>
      </c>
    </row>
    <row r="1467" spans="1:8">
      <c r="A1467" t="s">
        <v>138</v>
      </c>
      <c r="B1467">
        <v>2006</v>
      </c>
      <c r="C1467" t="s">
        <v>7</v>
      </c>
      <c r="D1467">
        <v>2.5000000000000001E-2</v>
      </c>
      <c r="E1467" t="s">
        <v>411</v>
      </c>
      <c r="F1467" t="s">
        <v>63</v>
      </c>
      <c r="G1467" t="s">
        <v>412</v>
      </c>
      <c r="H1467" t="s">
        <v>879</v>
      </c>
    </row>
    <row r="1468" spans="1:8">
      <c r="A1468" t="s">
        <v>138</v>
      </c>
      <c r="B1468">
        <v>2007</v>
      </c>
      <c r="C1468" t="s">
        <v>7</v>
      </c>
      <c r="D1468">
        <v>2.6821999999999999E-2</v>
      </c>
      <c r="E1468" t="s">
        <v>411</v>
      </c>
      <c r="F1468" t="s">
        <v>63</v>
      </c>
      <c r="G1468" t="s">
        <v>412</v>
      </c>
      <c r="H1468" t="s">
        <v>879</v>
      </c>
    </row>
    <row r="1469" spans="1:8">
      <c r="A1469" t="s">
        <v>138</v>
      </c>
      <c r="B1469">
        <v>2008</v>
      </c>
      <c r="C1469" t="s">
        <v>7</v>
      </c>
      <c r="D1469">
        <v>2.8753000000000001E-2</v>
      </c>
      <c r="E1469" t="s">
        <v>411</v>
      </c>
      <c r="F1469" t="s">
        <v>63</v>
      </c>
      <c r="G1469" t="s">
        <v>412</v>
      </c>
      <c r="H1469" t="s">
        <v>879</v>
      </c>
    </row>
    <row r="1470" spans="1:8">
      <c r="A1470" t="s">
        <v>138</v>
      </c>
      <c r="B1470">
        <v>2009</v>
      </c>
      <c r="C1470" t="s">
        <v>7</v>
      </c>
      <c r="D1470">
        <v>2.9621999999999999E-2</v>
      </c>
      <c r="E1470" t="s">
        <v>411</v>
      </c>
      <c r="F1470" t="s">
        <v>63</v>
      </c>
      <c r="G1470" t="s">
        <v>412</v>
      </c>
      <c r="H1470" t="s">
        <v>879</v>
      </c>
    </row>
    <row r="1471" spans="1:8">
      <c r="A1471" t="s">
        <v>138</v>
      </c>
      <c r="B1471">
        <v>2010</v>
      </c>
      <c r="C1471" t="s">
        <v>7</v>
      </c>
      <c r="D1471">
        <v>3.0731999999999999E-2</v>
      </c>
      <c r="E1471" t="s">
        <v>411</v>
      </c>
      <c r="F1471" t="s">
        <v>63</v>
      </c>
      <c r="G1471" t="s">
        <v>412</v>
      </c>
      <c r="H1471" t="s">
        <v>879</v>
      </c>
    </row>
    <row r="1472" spans="1:8">
      <c r="A1472" t="s">
        <v>138</v>
      </c>
      <c r="B1472">
        <v>2011</v>
      </c>
      <c r="C1472" t="s">
        <v>7</v>
      </c>
      <c r="D1472">
        <v>3.9397000000000008E-2</v>
      </c>
      <c r="E1472" t="s">
        <v>411</v>
      </c>
      <c r="F1472" t="s">
        <v>63</v>
      </c>
      <c r="G1472" t="s">
        <v>412</v>
      </c>
      <c r="H1472" t="s">
        <v>879</v>
      </c>
    </row>
    <row r="1473" spans="1:8">
      <c r="A1473" t="s">
        <v>138</v>
      </c>
      <c r="B1473">
        <v>2012</v>
      </c>
      <c r="C1473" t="s">
        <v>7</v>
      </c>
      <c r="D1473">
        <v>4.0807000000000003E-2</v>
      </c>
      <c r="E1473" t="s">
        <v>411</v>
      </c>
      <c r="F1473" t="s">
        <v>63</v>
      </c>
      <c r="G1473" t="s">
        <v>412</v>
      </c>
      <c r="H1473" t="s">
        <v>879</v>
      </c>
    </row>
    <row r="1474" spans="1:8">
      <c r="A1474" t="s">
        <v>138</v>
      </c>
      <c r="B1474">
        <v>2013</v>
      </c>
      <c r="C1474" t="s">
        <v>7</v>
      </c>
      <c r="D1474">
        <v>3.7643999999999997E-2</v>
      </c>
      <c r="E1474" t="s">
        <v>411</v>
      </c>
      <c r="F1474" t="s">
        <v>63</v>
      </c>
      <c r="G1474" t="s">
        <v>412</v>
      </c>
      <c r="H1474" t="s">
        <v>879</v>
      </c>
    </row>
    <row r="1475" spans="1:8">
      <c r="A1475" t="s">
        <v>138</v>
      </c>
      <c r="B1475">
        <v>2014</v>
      </c>
      <c r="C1475" t="s">
        <v>7</v>
      </c>
      <c r="D1475">
        <v>3.7277999999999999E-2</v>
      </c>
      <c r="E1475" t="s">
        <v>411</v>
      </c>
      <c r="F1475" t="s">
        <v>63</v>
      </c>
      <c r="G1475" t="s">
        <v>412</v>
      </c>
      <c r="H1475" t="s">
        <v>879</v>
      </c>
    </row>
    <row r="1476" spans="1:8">
      <c r="A1476" t="s">
        <v>138</v>
      </c>
      <c r="B1476">
        <v>2015</v>
      </c>
      <c r="C1476" t="s">
        <v>7</v>
      </c>
      <c r="D1476">
        <v>3.8787000000000002E-2</v>
      </c>
      <c r="E1476" t="s">
        <v>411</v>
      </c>
      <c r="F1476" t="s">
        <v>63</v>
      </c>
      <c r="G1476" t="s">
        <v>412</v>
      </c>
      <c r="H1476" t="s">
        <v>879</v>
      </c>
    </row>
    <row r="1477" spans="1:8">
      <c r="A1477" t="s">
        <v>138</v>
      </c>
      <c r="B1477">
        <v>2016</v>
      </c>
      <c r="C1477" t="s">
        <v>7</v>
      </c>
      <c r="D1477">
        <v>3.8035999999999993E-2</v>
      </c>
      <c r="E1477" t="s">
        <v>411</v>
      </c>
      <c r="F1477" t="s">
        <v>63</v>
      </c>
      <c r="G1477" t="s">
        <v>412</v>
      </c>
      <c r="H1477" t="s">
        <v>879</v>
      </c>
    </row>
    <row r="1478" spans="1:8">
      <c r="A1478" t="s">
        <v>138</v>
      </c>
      <c r="B1478">
        <v>2017</v>
      </c>
      <c r="C1478" t="s">
        <v>7</v>
      </c>
      <c r="D1478">
        <v>3.8896E-2</v>
      </c>
      <c r="E1478" t="s">
        <v>411</v>
      </c>
      <c r="F1478" t="s">
        <v>63</v>
      </c>
      <c r="G1478" t="s">
        <v>412</v>
      </c>
      <c r="H1478" t="s">
        <v>879</v>
      </c>
    </row>
    <row r="1479" spans="1:8">
      <c r="A1479" t="s">
        <v>138</v>
      </c>
      <c r="B1479">
        <v>2018</v>
      </c>
      <c r="C1479" t="s">
        <v>7</v>
      </c>
      <c r="D1479">
        <v>3.7040999999999998E-2</v>
      </c>
      <c r="E1479" t="s">
        <v>411</v>
      </c>
      <c r="F1479" t="s">
        <v>63</v>
      </c>
      <c r="G1479" t="s">
        <v>412</v>
      </c>
      <c r="H1479" t="s">
        <v>879</v>
      </c>
    </row>
    <row r="1480" spans="1:8">
      <c r="A1480" t="s">
        <v>138</v>
      </c>
      <c r="B1480">
        <v>2019</v>
      </c>
      <c r="C1480" t="s">
        <v>7</v>
      </c>
      <c r="D1480">
        <v>3.9500999999999994E-2</v>
      </c>
      <c r="E1480" t="s">
        <v>411</v>
      </c>
      <c r="F1480" t="s">
        <v>63</v>
      </c>
      <c r="G1480" t="s">
        <v>412</v>
      </c>
      <c r="H1480" t="s">
        <v>879</v>
      </c>
    </row>
    <row r="1481" spans="1:8">
      <c r="A1481" t="s">
        <v>138</v>
      </c>
      <c r="B1481">
        <v>2020</v>
      </c>
      <c r="C1481" t="s">
        <v>7</v>
      </c>
      <c r="D1481">
        <v>3.9456999999999992E-2</v>
      </c>
      <c r="E1481" t="s">
        <v>411</v>
      </c>
      <c r="F1481" t="s">
        <v>63</v>
      </c>
      <c r="G1481" t="s">
        <v>412</v>
      </c>
      <c r="H1481" t="s">
        <v>879</v>
      </c>
    </row>
    <row r="1482" spans="1:8">
      <c r="A1482" t="s">
        <v>138</v>
      </c>
      <c r="B1482">
        <v>2021</v>
      </c>
      <c r="C1482" t="s">
        <v>7</v>
      </c>
      <c r="D1482">
        <v>3.9757000000000001E-2</v>
      </c>
      <c r="E1482" t="s">
        <v>411</v>
      </c>
      <c r="F1482" t="s">
        <v>63</v>
      </c>
      <c r="G1482" t="s">
        <v>412</v>
      </c>
      <c r="H1482" t="s">
        <v>879</v>
      </c>
    </row>
    <row r="1483" spans="1:8">
      <c r="A1483" t="s">
        <v>138</v>
      </c>
      <c r="B1483">
        <v>2022</v>
      </c>
      <c r="C1483" t="s">
        <v>7</v>
      </c>
      <c r="D1483">
        <v>4.0028000000000001E-2</v>
      </c>
      <c r="E1483" t="s">
        <v>411</v>
      </c>
      <c r="F1483" t="s">
        <v>63</v>
      </c>
      <c r="G1483" t="s">
        <v>412</v>
      </c>
      <c r="H1483" t="s">
        <v>879</v>
      </c>
    </row>
    <row r="1484" spans="1:8">
      <c r="A1484" t="s">
        <v>138</v>
      </c>
      <c r="B1484">
        <v>2023</v>
      </c>
      <c r="C1484" t="s">
        <v>7</v>
      </c>
      <c r="D1484">
        <v>3.8547999999999992E-2</v>
      </c>
      <c r="E1484" t="s">
        <v>411</v>
      </c>
      <c r="F1484" t="s">
        <v>63</v>
      </c>
      <c r="G1484" t="s">
        <v>412</v>
      </c>
      <c r="H1484" t="s">
        <v>879</v>
      </c>
    </row>
    <row r="1485" spans="1:8">
      <c r="A1485" t="s">
        <v>138</v>
      </c>
      <c r="B1485">
        <v>2024</v>
      </c>
      <c r="C1485" t="s">
        <v>7</v>
      </c>
      <c r="D1485">
        <v>3.9047999999999992E-2</v>
      </c>
      <c r="E1485" t="s">
        <v>411</v>
      </c>
      <c r="F1485" t="s">
        <v>63</v>
      </c>
      <c r="G1485" t="s">
        <v>412</v>
      </c>
      <c r="H1485" t="s">
        <v>879</v>
      </c>
    </row>
    <row r="1486" spans="1:8">
      <c r="A1486" t="s">
        <v>138</v>
      </c>
      <c r="B1486">
        <v>2012</v>
      </c>
      <c r="C1486" t="s">
        <v>7</v>
      </c>
      <c r="D1486">
        <v>7.4999999999999997E-3</v>
      </c>
      <c r="E1486" t="s">
        <v>411</v>
      </c>
      <c r="F1486" t="s">
        <v>63</v>
      </c>
      <c r="G1486" t="s">
        <v>412</v>
      </c>
      <c r="H1486" t="s">
        <v>879</v>
      </c>
    </row>
    <row r="1487" spans="1:8">
      <c r="A1487" t="s">
        <v>138</v>
      </c>
      <c r="B1487">
        <v>2013</v>
      </c>
      <c r="C1487" t="s">
        <v>7</v>
      </c>
      <c r="D1487">
        <v>8.0000000000000002E-3</v>
      </c>
      <c r="E1487" t="s">
        <v>411</v>
      </c>
      <c r="F1487" t="s">
        <v>63</v>
      </c>
      <c r="G1487" t="s">
        <v>412</v>
      </c>
      <c r="H1487" t="s">
        <v>879</v>
      </c>
    </row>
    <row r="1488" spans="1:8">
      <c r="A1488" t="s">
        <v>138</v>
      </c>
      <c r="B1488">
        <v>2014</v>
      </c>
      <c r="C1488" t="s">
        <v>7</v>
      </c>
      <c r="D1488">
        <v>1.0789999999999999E-2</v>
      </c>
      <c r="E1488" t="s">
        <v>411</v>
      </c>
      <c r="F1488" t="s">
        <v>63</v>
      </c>
      <c r="G1488" t="s">
        <v>412</v>
      </c>
      <c r="H1488" t="s">
        <v>879</v>
      </c>
    </row>
    <row r="1489" spans="1:8">
      <c r="A1489" t="s">
        <v>138</v>
      </c>
      <c r="B1489">
        <v>2015</v>
      </c>
      <c r="C1489" t="s">
        <v>7</v>
      </c>
      <c r="D1489">
        <v>1.0789999999999999E-2</v>
      </c>
      <c r="E1489" t="s">
        <v>411</v>
      </c>
      <c r="F1489" t="s">
        <v>63</v>
      </c>
      <c r="G1489" t="s">
        <v>412</v>
      </c>
      <c r="H1489" t="s">
        <v>879</v>
      </c>
    </row>
    <row r="1490" spans="1:8">
      <c r="A1490" t="s">
        <v>138</v>
      </c>
      <c r="B1490">
        <v>2016</v>
      </c>
      <c r="C1490" t="s">
        <v>7</v>
      </c>
      <c r="D1490">
        <v>1.0789999999999999E-2</v>
      </c>
      <c r="E1490" t="s">
        <v>411</v>
      </c>
      <c r="F1490" t="s">
        <v>63</v>
      </c>
      <c r="G1490" t="s">
        <v>412</v>
      </c>
      <c r="H1490" t="s">
        <v>879</v>
      </c>
    </row>
    <row r="1491" spans="1:8">
      <c r="A1491" t="s">
        <v>138</v>
      </c>
      <c r="B1491">
        <v>2017</v>
      </c>
      <c r="C1491" t="s">
        <v>7</v>
      </c>
      <c r="D1491">
        <v>4.129E-2</v>
      </c>
      <c r="E1491" t="s">
        <v>411</v>
      </c>
      <c r="F1491" t="s">
        <v>63</v>
      </c>
      <c r="G1491" t="s">
        <v>412</v>
      </c>
      <c r="H1491" t="s">
        <v>879</v>
      </c>
    </row>
    <row r="1492" spans="1:8">
      <c r="A1492" t="s">
        <v>138</v>
      </c>
      <c r="B1492">
        <v>2018</v>
      </c>
      <c r="C1492" t="s">
        <v>7</v>
      </c>
      <c r="D1492">
        <v>4.129E-2</v>
      </c>
      <c r="E1492" t="s">
        <v>411</v>
      </c>
      <c r="F1492" t="s">
        <v>63</v>
      </c>
      <c r="G1492" t="s">
        <v>412</v>
      </c>
      <c r="H1492" t="s">
        <v>879</v>
      </c>
    </row>
    <row r="1493" spans="1:8">
      <c r="A1493" t="s">
        <v>138</v>
      </c>
      <c r="B1493">
        <v>2019</v>
      </c>
      <c r="C1493" t="s">
        <v>7</v>
      </c>
      <c r="D1493">
        <v>4.129E-2</v>
      </c>
      <c r="E1493" t="s">
        <v>411</v>
      </c>
      <c r="F1493" t="s">
        <v>63</v>
      </c>
      <c r="G1493" t="s">
        <v>412</v>
      </c>
      <c r="H1493" t="s">
        <v>879</v>
      </c>
    </row>
    <row r="1494" spans="1:8">
      <c r="A1494" t="s">
        <v>138</v>
      </c>
      <c r="B1494">
        <v>2020</v>
      </c>
      <c r="C1494" t="s">
        <v>7</v>
      </c>
      <c r="D1494">
        <v>4.129E-2</v>
      </c>
      <c r="E1494" t="s">
        <v>411</v>
      </c>
      <c r="F1494" t="s">
        <v>63</v>
      </c>
      <c r="G1494" t="s">
        <v>412</v>
      </c>
      <c r="H1494" t="s">
        <v>879</v>
      </c>
    </row>
    <row r="1495" spans="1:8">
      <c r="A1495" t="s">
        <v>138</v>
      </c>
      <c r="B1495">
        <v>2021</v>
      </c>
      <c r="C1495" t="s">
        <v>7</v>
      </c>
      <c r="D1495">
        <v>4.129E-2</v>
      </c>
      <c r="E1495" t="s">
        <v>411</v>
      </c>
      <c r="F1495" t="s">
        <v>63</v>
      </c>
      <c r="G1495" t="s">
        <v>412</v>
      </c>
      <c r="H1495" t="s">
        <v>879</v>
      </c>
    </row>
    <row r="1496" spans="1:8">
      <c r="A1496" t="s">
        <v>138</v>
      </c>
      <c r="B1496">
        <v>2022</v>
      </c>
      <c r="C1496" t="s">
        <v>7</v>
      </c>
      <c r="D1496">
        <v>4.129E-2</v>
      </c>
      <c r="E1496" t="s">
        <v>411</v>
      </c>
      <c r="F1496" t="s">
        <v>63</v>
      </c>
      <c r="G1496" t="s">
        <v>412</v>
      </c>
      <c r="H1496" t="s">
        <v>879</v>
      </c>
    </row>
    <row r="1497" spans="1:8">
      <c r="A1497" t="s">
        <v>138</v>
      </c>
      <c r="B1497">
        <v>2023</v>
      </c>
      <c r="C1497" t="s">
        <v>7</v>
      </c>
      <c r="D1497">
        <v>4.129E-2</v>
      </c>
      <c r="E1497" t="s">
        <v>411</v>
      </c>
      <c r="F1497" t="s">
        <v>63</v>
      </c>
      <c r="G1497" t="s">
        <v>412</v>
      </c>
      <c r="H1497" t="s">
        <v>879</v>
      </c>
    </row>
    <row r="1498" spans="1:8">
      <c r="A1498" t="s">
        <v>138</v>
      </c>
      <c r="B1498">
        <v>2024</v>
      </c>
      <c r="C1498" t="s">
        <v>7</v>
      </c>
      <c r="D1498">
        <v>4.129E-2</v>
      </c>
      <c r="E1498" t="s">
        <v>411</v>
      </c>
      <c r="F1498" t="s">
        <v>63</v>
      </c>
      <c r="G1498" t="s">
        <v>412</v>
      </c>
      <c r="H1498" t="s">
        <v>879</v>
      </c>
    </row>
    <row r="1499" spans="1:8">
      <c r="A1499" t="s">
        <v>138</v>
      </c>
      <c r="B1499">
        <v>2004</v>
      </c>
      <c r="C1499" t="s">
        <v>7</v>
      </c>
      <c r="D1499">
        <v>2E-3</v>
      </c>
      <c r="E1499" t="s">
        <v>411</v>
      </c>
      <c r="F1499" t="s">
        <v>63</v>
      </c>
      <c r="G1499" t="s">
        <v>412</v>
      </c>
      <c r="H1499" t="s">
        <v>879</v>
      </c>
    </row>
    <row r="1500" spans="1:8">
      <c r="A1500" t="s">
        <v>138</v>
      </c>
      <c r="B1500">
        <v>2005</v>
      </c>
      <c r="C1500" t="s">
        <v>7</v>
      </c>
      <c r="D1500">
        <v>2E-3</v>
      </c>
      <c r="E1500" t="s">
        <v>411</v>
      </c>
      <c r="F1500" t="s">
        <v>63</v>
      </c>
      <c r="G1500" t="s">
        <v>412</v>
      </c>
      <c r="H1500" t="s">
        <v>879</v>
      </c>
    </row>
    <row r="1501" spans="1:8">
      <c r="A1501" t="s">
        <v>138</v>
      </c>
      <c r="B1501">
        <v>2006</v>
      </c>
      <c r="C1501" t="s">
        <v>7</v>
      </c>
      <c r="D1501">
        <v>2E-3</v>
      </c>
      <c r="E1501" t="s">
        <v>411</v>
      </c>
      <c r="F1501" t="s">
        <v>63</v>
      </c>
      <c r="G1501" t="s">
        <v>412</v>
      </c>
      <c r="H1501" t="s">
        <v>879</v>
      </c>
    </row>
    <row r="1502" spans="1:8">
      <c r="A1502" t="s">
        <v>138</v>
      </c>
      <c r="B1502">
        <v>2007</v>
      </c>
      <c r="C1502" t="s">
        <v>7</v>
      </c>
      <c r="D1502">
        <v>1.83E-3</v>
      </c>
      <c r="E1502" t="s">
        <v>411</v>
      </c>
      <c r="F1502" t="s">
        <v>63</v>
      </c>
      <c r="G1502" t="s">
        <v>412</v>
      </c>
      <c r="H1502" t="s">
        <v>879</v>
      </c>
    </row>
    <row r="1503" spans="1:8">
      <c r="A1503" t="s">
        <v>138</v>
      </c>
      <c r="B1503">
        <v>2008</v>
      </c>
      <c r="C1503" t="s">
        <v>7</v>
      </c>
      <c r="D1503">
        <v>5.3499999999999997E-3</v>
      </c>
      <c r="E1503" t="s">
        <v>411</v>
      </c>
      <c r="F1503" t="s">
        <v>63</v>
      </c>
      <c r="G1503" t="s">
        <v>412</v>
      </c>
      <c r="H1503" t="s">
        <v>879</v>
      </c>
    </row>
    <row r="1504" spans="1:8">
      <c r="A1504" t="s">
        <v>138</v>
      </c>
      <c r="B1504">
        <v>2009</v>
      </c>
      <c r="C1504" t="s">
        <v>7</v>
      </c>
      <c r="D1504">
        <v>5.3499999999999997E-3</v>
      </c>
      <c r="E1504" t="s">
        <v>411</v>
      </c>
      <c r="F1504" t="s">
        <v>63</v>
      </c>
      <c r="G1504" t="s">
        <v>412</v>
      </c>
      <c r="H1504" t="s">
        <v>879</v>
      </c>
    </row>
    <row r="1505" spans="1:8">
      <c r="A1505" t="s">
        <v>138</v>
      </c>
      <c r="B1505">
        <v>2010</v>
      </c>
      <c r="C1505" t="s">
        <v>7</v>
      </c>
      <c r="D1505">
        <v>5.3499999999999997E-3</v>
      </c>
      <c r="E1505" t="s">
        <v>411</v>
      </c>
      <c r="F1505" t="s">
        <v>63</v>
      </c>
      <c r="G1505" t="s">
        <v>412</v>
      </c>
      <c r="H1505" t="s">
        <v>879</v>
      </c>
    </row>
    <row r="1506" spans="1:8">
      <c r="A1506" t="s">
        <v>138</v>
      </c>
      <c r="B1506">
        <v>2011</v>
      </c>
      <c r="C1506" t="s">
        <v>7</v>
      </c>
      <c r="D1506">
        <v>5.45E-3</v>
      </c>
      <c r="E1506" t="s">
        <v>411</v>
      </c>
      <c r="F1506" t="s">
        <v>63</v>
      </c>
      <c r="G1506" t="s">
        <v>412</v>
      </c>
      <c r="H1506" t="s">
        <v>879</v>
      </c>
    </row>
    <row r="1507" spans="1:8">
      <c r="A1507" t="s">
        <v>138</v>
      </c>
      <c r="B1507">
        <v>2012</v>
      </c>
      <c r="C1507" t="s">
        <v>7</v>
      </c>
      <c r="D1507">
        <v>5.45E-3</v>
      </c>
      <c r="E1507" t="s">
        <v>411</v>
      </c>
      <c r="F1507" t="s">
        <v>63</v>
      </c>
      <c r="G1507" t="s">
        <v>412</v>
      </c>
      <c r="H1507" t="s">
        <v>879</v>
      </c>
    </row>
    <row r="1508" spans="1:8">
      <c r="A1508" t="s">
        <v>138</v>
      </c>
      <c r="B1508">
        <v>2013</v>
      </c>
      <c r="C1508" t="s">
        <v>7</v>
      </c>
      <c r="D1508">
        <v>5.45E-3</v>
      </c>
      <c r="E1508" t="s">
        <v>411</v>
      </c>
      <c r="F1508" t="s">
        <v>63</v>
      </c>
      <c r="G1508" t="s">
        <v>412</v>
      </c>
      <c r="H1508" t="s">
        <v>879</v>
      </c>
    </row>
    <row r="1509" spans="1:8">
      <c r="A1509" t="s">
        <v>138</v>
      </c>
      <c r="B1509">
        <v>2014</v>
      </c>
      <c r="C1509" t="s">
        <v>7</v>
      </c>
      <c r="D1509">
        <v>5.45E-3</v>
      </c>
      <c r="E1509" t="s">
        <v>411</v>
      </c>
      <c r="F1509" t="s">
        <v>63</v>
      </c>
      <c r="G1509" t="s">
        <v>412</v>
      </c>
      <c r="H1509" t="s">
        <v>879</v>
      </c>
    </row>
    <row r="1510" spans="1:8">
      <c r="A1510" t="s">
        <v>138</v>
      </c>
      <c r="B1510">
        <v>2015</v>
      </c>
      <c r="C1510" t="s">
        <v>7</v>
      </c>
      <c r="D1510">
        <v>5.45E-3</v>
      </c>
      <c r="E1510" t="s">
        <v>411</v>
      </c>
      <c r="F1510" t="s">
        <v>63</v>
      </c>
      <c r="G1510" t="s">
        <v>412</v>
      </c>
      <c r="H1510" t="s">
        <v>879</v>
      </c>
    </row>
    <row r="1511" spans="1:8">
      <c r="A1511" t="s">
        <v>138</v>
      </c>
      <c r="B1511">
        <v>2016</v>
      </c>
      <c r="C1511" t="s">
        <v>7</v>
      </c>
      <c r="D1511">
        <v>5.45E-3</v>
      </c>
      <c r="E1511" t="s">
        <v>411</v>
      </c>
      <c r="F1511" t="s">
        <v>63</v>
      </c>
      <c r="G1511" t="s">
        <v>412</v>
      </c>
      <c r="H1511" t="s">
        <v>879</v>
      </c>
    </row>
    <row r="1512" spans="1:8">
      <c r="A1512" t="s">
        <v>138</v>
      </c>
      <c r="B1512">
        <v>2017</v>
      </c>
      <c r="C1512" t="s">
        <v>7</v>
      </c>
      <c r="D1512">
        <v>5.45E-3</v>
      </c>
      <c r="E1512" t="s">
        <v>411</v>
      </c>
      <c r="F1512" t="s">
        <v>63</v>
      </c>
      <c r="G1512" t="s">
        <v>412</v>
      </c>
      <c r="H1512" t="s">
        <v>879</v>
      </c>
    </row>
    <row r="1513" spans="1:8">
      <c r="A1513" t="s">
        <v>138</v>
      </c>
      <c r="B1513">
        <v>2018</v>
      </c>
      <c r="C1513" t="s">
        <v>7</v>
      </c>
      <c r="D1513">
        <v>5.45E-3</v>
      </c>
      <c r="E1513" t="s">
        <v>411</v>
      </c>
      <c r="F1513" t="s">
        <v>63</v>
      </c>
      <c r="G1513" t="s">
        <v>412</v>
      </c>
      <c r="H1513" t="s">
        <v>879</v>
      </c>
    </row>
    <row r="1514" spans="1:8">
      <c r="A1514" t="s">
        <v>138</v>
      </c>
      <c r="B1514">
        <v>2019</v>
      </c>
      <c r="C1514" t="s">
        <v>7</v>
      </c>
      <c r="D1514">
        <v>6.6500000000000005E-3</v>
      </c>
      <c r="E1514" t="s">
        <v>411</v>
      </c>
      <c r="F1514" t="s">
        <v>63</v>
      </c>
      <c r="G1514" t="s">
        <v>412</v>
      </c>
      <c r="H1514" t="s">
        <v>879</v>
      </c>
    </row>
    <row r="1515" spans="1:8">
      <c r="A1515" t="s">
        <v>138</v>
      </c>
      <c r="B1515">
        <v>2020</v>
      </c>
      <c r="C1515" t="s">
        <v>7</v>
      </c>
      <c r="D1515">
        <v>6.7069999999999994E-3</v>
      </c>
      <c r="E1515" t="s">
        <v>411</v>
      </c>
      <c r="F1515" t="s">
        <v>63</v>
      </c>
      <c r="G1515" t="s">
        <v>412</v>
      </c>
      <c r="H1515" t="s">
        <v>879</v>
      </c>
    </row>
    <row r="1516" spans="1:8">
      <c r="A1516" t="s">
        <v>138</v>
      </c>
      <c r="B1516">
        <v>2021</v>
      </c>
      <c r="C1516" t="s">
        <v>7</v>
      </c>
      <c r="D1516">
        <v>6.7069999999999994E-3</v>
      </c>
      <c r="E1516" t="s">
        <v>411</v>
      </c>
      <c r="F1516" t="s">
        <v>63</v>
      </c>
      <c r="G1516" t="s">
        <v>412</v>
      </c>
      <c r="H1516" t="s">
        <v>879</v>
      </c>
    </row>
    <row r="1517" spans="1:8">
      <c r="A1517" t="s">
        <v>138</v>
      </c>
      <c r="B1517">
        <v>2022</v>
      </c>
      <c r="C1517" t="s">
        <v>7</v>
      </c>
      <c r="D1517">
        <v>6.7069999999999994E-3</v>
      </c>
      <c r="E1517" t="s">
        <v>411</v>
      </c>
      <c r="F1517" t="s">
        <v>63</v>
      </c>
      <c r="G1517" t="s">
        <v>412</v>
      </c>
      <c r="H1517" t="s">
        <v>879</v>
      </c>
    </row>
    <row r="1518" spans="1:8">
      <c r="A1518" t="s">
        <v>138</v>
      </c>
      <c r="B1518">
        <v>2023</v>
      </c>
      <c r="C1518" t="s">
        <v>7</v>
      </c>
      <c r="D1518">
        <v>6.7069999999999994E-3</v>
      </c>
      <c r="E1518" t="s">
        <v>411</v>
      </c>
      <c r="F1518" t="s">
        <v>63</v>
      </c>
      <c r="G1518" t="s">
        <v>412</v>
      </c>
      <c r="H1518" t="s">
        <v>879</v>
      </c>
    </row>
    <row r="1519" spans="1:8">
      <c r="A1519" t="s">
        <v>138</v>
      </c>
      <c r="B1519">
        <v>2024</v>
      </c>
      <c r="C1519" t="s">
        <v>7</v>
      </c>
      <c r="D1519">
        <v>6.7069999999999994E-3</v>
      </c>
      <c r="E1519" t="s">
        <v>411</v>
      </c>
      <c r="F1519" t="s">
        <v>63</v>
      </c>
      <c r="G1519" t="s">
        <v>412</v>
      </c>
      <c r="H1519" t="s">
        <v>879</v>
      </c>
    </row>
    <row r="1520" spans="1:8">
      <c r="A1520" t="s">
        <v>138</v>
      </c>
      <c r="B1520">
        <v>2000</v>
      </c>
      <c r="C1520" t="s">
        <v>135</v>
      </c>
      <c r="D1520">
        <v>9.5000000000000001E-2</v>
      </c>
      <c r="E1520" t="s">
        <v>411</v>
      </c>
      <c r="F1520" t="s">
        <v>73</v>
      </c>
      <c r="G1520" t="s">
        <v>412</v>
      </c>
      <c r="H1520" t="s">
        <v>879</v>
      </c>
    </row>
    <row r="1521" spans="1:8">
      <c r="A1521" t="s">
        <v>138</v>
      </c>
      <c r="B1521">
        <v>2001</v>
      </c>
      <c r="C1521" t="s">
        <v>135</v>
      </c>
      <c r="D1521">
        <v>9.7000000000000003E-2</v>
      </c>
      <c r="E1521" t="s">
        <v>411</v>
      </c>
      <c r="F1521" t="s">
        <v>73</v>
      </c>
      <c r="G1521" t="s">
        <v>412</v>
      </c>
      <c r="H1521" t="s">
        <v>879</v>
      </c>
    </row>
    <row r="1522" spans="1:8">
      <c r="A1522" t="s">
        <v>138</v>
      </c>
      <c r="B1522">
        <v>2002</v>
      </c>
      <c r="C1522" t="s">
        <v>135</v>
      </c>
      <c r="D1522">
        <v>8.2000000000000003E-2</v>
      </c>
      <c r="E1522" t="s">
        <v>411</v>
      </c>
      <c r="F1522" t="s">
        <v>73</v>
      </c>
      <c r="G1522" t="s">
        <v>412</v>
      </c>
      <c r="H1522" t="s">
        <v>879</v>
      </c>
    </row>
    <row r="1523" spans="1:8">
      <c r="A1523" t="s">
        <v>138</v>
      </c>
      <c r="B1523">
        <v>2003</v>
      </c>
      <c r="C1523" t="s">
        <v>135</v>
      </c>
      <c r="D1523">
        <v>8.5999999999999993E-2</v>
      </c>
      <c r="E1523" t="s">
        <v>411</v>
      </c>
      <c r="F1523" t="s">
        <v>73</v>
      </c>
      <c r="G1523" t="s">
        <v>412</v>
      </c>
      <c r="H1523" t="s">
        <v>879</v>
      </c>
    </row>
    <row r="1524" spans="1:8">
      <c r="A1524" t="s">
        <v>138</v>
      </c>
      <c r="B1524">
        <v>2004</v>
      </c>
      <c r="C1524" t="s">
        <v>135</v>
      </c>
      <c r="D1524">
        <v>0.10100000000000001</v>
      </c>
      <c r="E1524" t="s">
        <v>411</v>
      </c>
      <c r="F1524" t="s">
        <v>73</v>
      </c>
      <c r="G1524" t="s">
        <v>412</v>
      </c>
      <c r="H1524" t="s">
        <v>879</v>
      </c>
    </row>
    <row r="1525" spans="1:8">
      <c r="A1525" t="s">
        <v>138</v>
      </c>
      <c r="B1525">
        <v>2005</v>
      </c>
      <c r="C1525" t="s">
        <v>135</v>
      </c>
      <c r="D1525">
        <v>0.12237000000000001</v>
      </c>
      <c r="E1525" t="s">
        <v>411</v>
      </c>
      <c r="F1525" t="s">
        <v>73</v>
      </c>
      <c r="G1525" t="s">
        <v>412</v>
      </c>
      <c r="H1525" t="s">
        <v>879</v>
      </c>
    </row>
    <row r="1526" spans="1:8">
      <c r="A1526" t="s">
        <v>138</v>
      </c>
      <c r="B1526">
        <v>2006</v>
      </c>
      <c r="C1526" t="s">
        <v>135</v>
      </c>
      <c r="D1526">
        <v>0.120541</v>
      </c>
      <c r="E1526" t="s">
        <v>411</v>
      </c>
      <c r="F1526" t="s">
        <v>73</v>
      </c>
      <c r="G1526" t="s">
        <v>412</v>
      </c>
      <c r="H1526" t="s">
        <v>879</v>
      </c>
    </row>
    <row r="1527" spans="1:8">
      <c r="A1527" t="s">
        <v>138</v>
      </c>
      <c r="B1527">
        <v>2007</v>
      </c>
      <c r="C1527" t="s">
        <v>135</v>
      </c>
      <c r="D1527">
        <v>0.16328800000000002</v>
      </c>
      <c r="E1527" t="s">
        <v>411</v>
      </c>
      <c r="F1527" t="s">
        <v>73</v>
      </c>
      <c r="G1527" t="s">
        <v>412</v>
      </c>
      <c r="H1527" t="s">
        <v>879</v>
      </c>
    </row>
    <row r="1528" spans="1:8">
      <c r="A1528" t="s">
        <v>138</v>
      </c>
      <c r="B1528">
        <v>2008</v>
      </c>
      <c r="C1528" t="s">
        <v>135</v>
      </c>
      <c r="D1528">
        <v>0.18394099999999999</v>
      </c>
      <c r="E1528" t="s">
        <v>411</v>
      </c>
      <c r="F1528" t="s">
        <v>73</v>
      </c>
      <c r="G1528" t="s">
        <v>412</v>
      </c>
      <c r="H1528" t="s">
        <v>879</v>
      </c>
    </row>
    <row r="1529" spans="1:8">
      <c r="A1529" t="s">
        <v>138</v>
      </c>
      <c r="B1529">
        <v>2009</v>
      </c>
      <c r="C1529" t="s">
        <v>135</v>
      </c>
      <c r="D1529">
        <v>0.19500000000000001</v>
      </c>
      <c r="E1529" t="s">
        <v>411</v>
      </c>
      <c r="F1529" t="s">
        <v>73</v>
      </c>
      <c r="G1529" t="s">
        <v>412</v>
      </c>
      <c r="H1529" t="s">
        <v>879</v>
      </c>
    </row>
    <row r="1530" spans="1:8">
      <c r="A1530" t="s">
        <v>138</v>
      </c>
      <c r="B1530">
        <v>2010</v>
      </c>
      <c r="C1530" t="s">
        <v>135</v>
      </c>
      <c r="D1530">
        <v>0.20469899999999999</v>
      </c>
      <c r="E1530" t="s">
        <v>411</v>
      </c>
      <c r="F1530" t="s">
        <v>73</v>
      </c>
      <c r="G1530" t="s">
        <v>412</v>
      </c>
      <c r="H1530" t="s">
        <v>879</v>
      </c>
    </row>
    <row r="1531" spans="1:8">
      <c r="A1531" t="s">
        <v>138</v>
      </c>
      <c r="B1531">
        <v>2011</v>
      </c>
      <c r="C1531" t="s">
        <v>135</v>
      </c>
      <c r="D1531">
        <v>0.199768</v>
      </c>
      <c r="E1531" t="s">
        <v>411</v>
      </c>
      <c r="F1531" t="s">
        <v>73</v>
      </c>
      <c r="G1531" t="s">
        <v>412</v>
      </c>
      <c r="H1531" t="s">
        <v>879</v>
      </c>
    </row>
    <row r="1532" spans="1:8">
      <c r="A1532" t="s">
        <v>138</v>
      </c>
      <c r="B1532">
        <v>2012</v>
      </c>
      <c r="C1532" t="s">
        <v>135</v>
      </c>
      <c r="D1532">
        <v>0.1971</v>
      </c>
      <c r="E1532" t="s">
        <v>411</v>
      </c>
      <c r="F1532" t="s">
        <v>73</v>
      </c>
      <c r="G1532" t="s">
        <v>412</v>
      </c>
      <c r="H1532" t="s">
        <v>879</v>
      </c>
    </row>
    <row r="1533" spans="1:8">
      <c r="A1533" t="s">
        <v>138</v>
      </c>
      <c r="B1533">
        <v>2013</v>
      </c>
      <c r="C1533" t="s">
        <v>135</v>
      </c>
      <c r="D1533">
        <v>0.18456099999999998</v>
      </c>
      <c r="E1533" t="s">
        <v>411</v>
      </c>
      <c r="F1533" t="s">
        <v>73</v>
      </c>
      <c r="G1533" t="s">
        <v>412</v>
      </c>
      <c r="H1533" t="s">
        <v>879</v>
      </c>
    </row>
    <row r="1534" spans="1:8">
      <c r="A1534" t="s">
        <v>138</v>
      </c>
      <c r="B1534">
        <v>2014</v>
      </c>
      <c r="C1534" t="s">
        <v>135</v>
      </c>
      <c r="D1534">
        <v>0.203629</v>
      </c>
      <c r="E1534" t="s">
        <v>411</v>
      </c>
      <c r="F1534" t="s">
        <v>73</v>
      </c>
      <c r="G1534" t="s">
        <v>412</v>
      </c>
      <c r="H1534" t="s">
        <v>879</v>
      </c>
    </row>
    <row r="1535" spans="1:8">
      <c r="A1535" t="s">
        <v>138</v>
      </c>
      <c r="B1535">
        <v>2015</v>
      </c>
      <c r="C1535" t="s">
        <v>135</v>
      </c>
      <c r="D1535">
        <v>0.204791</v>
      </c>
      <c r="E1535" t="s">
        <v>411</v>
      </c>
      <c r="F1535" t="s">
        <v>73</v>
      </c>
      <c r="G1535" t="s">
        <v>412</v>
      </c>
      <c r="H1535" t="s">
        <v>879</v>
      </c>
    </row>
    <row r="1536" spans="1:8">
      <c r="A1536" t="s">
        <v>138</v>
      </c>
      <c r="B1536">
        <v>2016</v>
      </c>
      <c r="C1536" t="s">
        <v>135</v>
      </c>
      <c r="D1536">
        <v>0.20796700000000001</v>
      </c>
      <c r="E1536" t="s">
        <v>411</v>
      </c>
      <c r="F1536" t="s">
        <v>73</v>
      </c>
      <c r="G1536" t="s">
        <v>412</v>
      </c>
      <c r="H1536" t="s">
        <v>879</v>
      </c>
    </row>
    <row r="1537" spans="1:8">
      <c r="A1537" t="s">
        <v>138</v>
      </c>
      <c r="B1537">
        <v>2017</v>
      </c>
      <c r="C1537" t="s">
        <v>135</v>
      </c>
      <c r="D1537">
        <v>0.20309300000000002</v>
      </c>
      <c r="E1537" t="s">
        <v>411</v>
      </c>
      <c r="F1537" t="s">
        <v>73</v>
      </c>
      <c r="G1537" t="s">
        <v>412</v>
      </c>
      <c r="H1537" t="s">
        <v>879</v>
      </c>
    </row>
    <row r="1538" spans="1:8">
      <c r="A1538" t="s">
        <v>138</v>
      </c>
      <c r="B1538">
        <v>2018</v>
      </c>
      <c r="C1538" t="s">
        <v>135</v>
      </c>
      <c r="D1538">
        <v>0.18409199999999998</v>
      </c>
      <c r="E1538" t="s">
        <v>411</v>
      </c>
      <c r="F1538" t="s">
        <v>73</v>
      </c>
      <c r="G1538" t="s">
        <v>412</v>
      </c>
      <c r="H1538" t="s">
        <v>879</v>
      </c>
    </row>
    <row r="1539" spans="1:8">
      <c r="A1539" t="s">
        <v>138</v>
      </c>
      <c r="B1539">
        <v>2019</v>
      </c>
      <c r="C1539" t="s">
        <v>135</v>
      </c>
      <c r="D1539">
        <v>0.188</v>
      </c>
      <c r="E1539" t="s">
        <v>411</v>
      </c>
      <c r="F1539" t="s">
        <v>73</v>
      </c>
      <c r="G1539" t="s">
        <v>412</v>
      </c>
      <c r="H1539" t="s">
        <v>879</v>
      </c>
    </row>
    <row r="1540" spans="1:8">
      <c r="A1540" t="s">
        <v>138</v>
      </c>
      <c r="B1540">
        <v>2020</v>
      </c>
      <c r="C1540" t="s">
        <v>135</v>
      </c>
      <c r="D1540">
        <v>0.16774700000000001</v>
      </c>
      <c r="E1540" t="s">
        <v>411</v>
      </c>
      <c r="F1540" t="s">
        <v>73</v>
      </c>
      <c r="G1540" t="s">
        <v>412</v>
      </c>
      <c r="H1540" t="s">
        <v>879</v>
      </c>
    </row>
    <row r="1541" spans="1:8">
      <c r="A1541" t="s">
        <v>138</v>
      </c>
      <c r="B1541">
        <v>2021</v>
      </c>
      <c r="C1541" t="s">
        <v>135</v>
      </c>
      <c r="D1541">
        <v>0.172845</v>
      </c>
      <c r="E1541" t="s">
        <v>411</v>
      </c>
      <c r="F1541" t="s">
        <v>73</v>
      </c>
      <c r="G1541" t="s">
        <v>412</v>
      </c>
      <c r="H1541" t="s">
        <v>879</v>
      </c>
    </row>
    <row r="1542" spans="1:8">
      <c r="A1542" t="s">
        <v>138</v>
      </c>
      <c r="B1542">
        <v>2022</v>
      </c>
      <c r="C1542" t="s">
        <v>135</v>
      </c>
      <c r="D1542">
        <v>0.15912100000000001</v>
      </c>
      <c r="E1542" t="s">
        <v>411</v>
      </c>
      <c r="F1542" t="s">
        <v>73</v>
      </c>
      <c r="G1542" t="s">
        <v>412</v>
      </c>
      <c r="H1542" t="s">
        <v>879</v>
      </c>
    </row>
    <row r="1543" spans="1:8">
      <c r="A1543" t="s">
        <v>138</v>
      </c>
      <c r="B1543">
        <v>2023</v>
      </c>
      <c r="C1543" t="s">
        <v>135</v>
      </c>
      <c r="D1543">
        <v>0.14961199999999999</v>
      </c>
      <c r="E1543" t="s">
        <v>411</v>
      </c>
      <c r="F1543" t="s">
        <v>73</v>
      </c>
      <c r="G1543" t="s">
        <v>412</v>
      </c>
      <c r="H1543" t="s">
        <v>879</v>
      </c>
    </row>
    <row r="1544" spans="1:8">
      <c r="A1544" t="s">
        <v>138</v>
      </c>
      <c r="B1544">
        <v>2012</v>
      </c>
      <c r="C1544" t="s">
        <v>135</v>
      </c>
      <c r="D1544">
        <v>6.6685000000000008E-2</v>
      </c>
      <c r="E1544" t="s">
        <v>411</v>
      </c>
      <c r="F1544" t="s">
        <v>73</v>
      </c>
      <c r="G1544" t="s">
        <v>412</v>
      </c>
      <c r="H1544" t="s">
        <v>879</v>
      </c>
    </row>
    <row r="1545" spans="1:8">
      <c r="A1545" t="s">
        <v>138</v>
      </c>
      <c r="B1545">
        <v>2013</v>
      </c>
      <c r="C1545" t="s">
        <v>135</v>
      </c>
      <c r="D1545">
        <v>7.4381000000000003E-2</v>
      </c>
      <c r="E1545" t="s">
        <v>411</v>
      </c>
      <c r="F1545" t="s">
        <v>73</v>
      </c>
      <c r="G1545" t="s">
        <v>412</v>
      </c>
      <c r="H1545" t="s">
        <v>879</v>
      </c>
    </row>
    <row r="1546" spans="1:8">
      <c r="A1546" t="s">
        <v>138</v>
      </c>
      <c r="B1546">
        <v>2014</v>
      </c>
      <c r="C1546" t="s">
        <v>135</v>
      </c>
      <c r="D1546">
        <v>7.2433999999999998E-2</v>
      </c>
      <c r="E1546" t="s">
        <v>411</v>
      </c>
      <c r="F1546" t="s">
        <v>73</v>
      </c>
      <c r="G1546" t="s">
        <v>412</v>
      </c>
      <c r="H1546" t="s">
        <v>879</v>
      </c>
    </row>
    <row r="1547" spans="1:8">
      <c r="A1547" t="s">
        <v>138</v>
      </c>
      <c r="B1547">
        <v>2015</v>
      </c>
      <c r="C1547" t="s">
        <v>135</v>
      </c>
      <c r="D1547">
        <v>7.7084E-2</v>
      </c>
      <c r="E1547" t="s">
        <v>411</v>
      </c>
      <c r="F1547" t="s">
        <v>73</v>
      </c>
      <c r="G1547" t="s">
        <v>412</v>
      </c>
      <c r="H1547" t="s">
        <v>879</v>
      </c>
    </row>
    <row r="1548" spans="1:8">
      <c r="A1548" t="s">
        <v>138</v>
      </c>
      <c r="B1548">
        <v>2016</v>
      </c>
      <c r="C1548" t="s">
        <v>135</v>
      </c>
      <c r="D1548">
        <v>7.5772000000000006E-2</v>
      </c>
      <c r="E1548" t="s">
        <v>411</v>
      </c>
      <c r="F1548" t="s">
        <v>73</v>
      </c>
      <c r="G1548" t="s">
        <v>412</v>
      </c>
      <c r="H1548" t="s">
        <v>879</v>
      </c>
    </row>
    <row r="1549" spans="1:8">
      <c r="A1549" t="s">
        <v>138</v>
      </c>
      <c r="B1549">
        <v>2017</v>
      </c>
      <c r="C1549" t="s">
        <v>135</v>
      </c>
      <c r="D1549">
        <v>0.15074500000000002</v>
      </c>
      <c r="E1549" t="s">
        <v>411</v>
      </c>
      <c r="F1549" t="s">
        <v>73</v>
      </c>
      <c r="G1549" t="s">
        <v>412</v>
      </c>
      <c r="H1549" t="s">
        <v>879</v>
      </c>
    </row>
    <row r="1550" spans="1:8">
      <c r="A1550" t="s">
        <v>138</v>
      </c>
      <c r="B1550">
        <v>2018</v>
      </c>
      <c r="C1550" t="s">
        <v>135</v>
      </c>
      <c r="D1550">
        <v>0.33015600000000001</v>
      </c>
      <c r="E1550" t="s">
        <v>411</v>
      </c>
      <c r="F1550" t="s">
        <v>73</v>
      </c>
      <c r="G1550" t="s">
        <v>412</v>
      </c>
      <c r="H1550" t="s">
        <v>879</v>
      </c>
    </row>
    <row r="1551" spans="1:8">
      <c r="A1551" t="s">
        <v>138</v>
      </c>
      <c r="B1551">
        <v>2019</v>
      </c>
      <c r="C1551" t="s">
        <v>135</v>
      </c>
      <c r="D1551">
        <v>0.320463</v>
      </c>
      <c r="E1551" t="s">
        <v>411</v>
      </c>
      <c r="F1551" t="s">
        <v>73</v>
      </c>
      <c r="G1551" t="s">
        <v>412</v>
      </c>
      <c r="H1551" t="s">
        <v>879</v>
      </c>
    </row>
    <row r="1552" spans="1:8">
      <c r="A1552" t="s">
        <v>138</v>
      </c>
      <c r="B1552">
        <v>2020</v>
      </c>
      <c r="C1552" t="s">
        <v>135</v>
      </c>
      <c r="D1552">
        <v>0.32613900000000001</v>
      </c>
      <c r="E1552" t="s">
        <v>411</v>
      </c>
      <c r="F1552" t="s">
        <v>73</v>
      </c>
      <c r="G1552" t="s">
        <v>412</v>
      </c>
      <c r="H1552" t="s">
        <v>879</v>
      </c>
    </row>
    <row r="1553" spans="1:8">
      <c r="A1553" t="s">
        <v>138</v>
      </c>
      <c r="B1553">
        <v>2021</v>
      </c>
      <c r="C1553" t="s">
        <v>135</v>
      </c>
      <c r="D1553">
        <v>0.35140199999999999</v>
      </c>
      <c r="E1553" t="s">
        <v>411</v>
      </c>
      <c r="F1553" t="s">
        <v>73</v>
      </c>
      <c r="G1553" t="s">
        <v>412</v>
      </c>
      <c r="H1553" t="s">
        <v>879</v>
      </c>
    </row>
    <row r="1554" spans="1:8">
      <c r="A1554" t="s">
        <v>138</v>
      </c>
      <c r="B1554">
        <v>2022</v>
      </c>
      <c r="C1554" t="s">
        <v>135</v>
      </c>
      <c r="D1554">
        <v>0.34678399999999998</v>
      </c>
      <c r="E1554" t="s">
        <v>411</v>
      </c>
      <c r="F1554" t="s">
        <v>73</v>
      </c>
      <c r="G1554" t="s">
        <v>412</v>
      </c>
      <c r="H1554" t="s">
        <v>879</v>
      </c>
    </row>
    <row r="1555" spans="1:8">
      <c r="A1555" t="s">
        <v>138</v>
      </c>
      <c r="B1555">
        <v>2023</v>
      </c>
      <c r="C1555" t="s">
        <v>135</v>
      </c>
      <c r="D1555">
        <v>0.33380599999999999</v>
      </c>
      <c r="E1555" t="s">
        <v>411</v>
      </c>
      <c r="F1555" t="s">
        <v>73</v>
      </c>
      <c r="G1555" t="s">
        <v>412</v>
      </c>
      <c r="H1555" t="s">
        <v>879</v>
      </c>
    </row>
    <row r="1556" spans="1:8">
      <c r="A1556" t="s">
        <v>138</v>
      </c>
      <c r="B1556">
        <v>2004</v>
      </c>
      <c r="C1556" t="s">
        <v>135</v>
      </c>
      <c r="D1556">
        <v>8.0000000000000002E-3</v>
      </c>
      <c r="E1556" t="s">
        <v>411</v>
      </c>
      <c r="F1556" t="s">
        <v>73</v>
      </c>
      <c r="G1556" t="s">
        <v>412</v>
      </c>
      <c r="H1556" t="s">
        <v>879</v>
      </c>
    </row>
    <row r="1557" spans="1:8">
      <c r="A1557" t="s">
        <v>138</v>
      </c>
      <c r="B1557">
        <v>2005</v>
      </c>
      <c r="C1557" t="s">
        <v>135</v>
      </c>
      <c r="D1557">
        <v>7.8919999999999997E-3</v>
      </c>
      <c r="E1557" t="s">
        <v>411</v>
      </c>
      <c r="F1557" t="s">
        <v>73</v>
      </c>
      <c r="G1557" t="s">
        <v>412</v>
      </c>
      <c r="H1557" t="s">
        <v>879</v>
      </c>
    </row>
    <row r="1558" spans="1:8">
      <c r="A1558" t="s">
        <v>138</v>
      </c>
      <c r="B1558">
        <v>2006</v>
      </c>
      <c r="C1558" t="s">
        <v>135</v>
      </c>
      <c r="D1558">
        <v>7.8919999999999997E-3</v>
      </c>
      <c r="E1558" t="s">
        <v>411</v>
      </c>
      <c r="F1558" t="s">
        <v>73</v>
      </c>
      <c r="G1558" t="s">
        <v>412</v>
      </c>
      <c r="H1558" t="s">
        <v>879</v>
      </c>
    </row>
    <row r="1559" spans="1:8">
      <c r="A1559" t="s">
        <v>138</v>
      </c>
      <c r="B1559">
        <v>2007</v>
      </c>
      <c r="C1559" t="s">
        <v>135</v>
      </c>
      <c r="D1559">
        <v>1.3825E-2</v>
      </c>
      <c r="E1559" t="s">
        <v>411</v>
      </c>
      <c r="F1559" t="s">
        <v>73</v>
      </c>
      <c r="G1559" t="s">
        <v>412</v>
      </c>
      <c r="H1559" t="s">
        <v>879</v>
      </c>
    </row>
    <row r="1560" spans="1:8">
      <c r="A1560" t="s">
        <v>138</v>
      </c>
      <c r="B1560">
        <v>2008</v>
      </c>
      <c r="C1560" t="s">
        <v>135</v>
      </c>
      <c r="D1560">
        <v>3.3070000000000002E-2</v>
      </c>
      <c r="E1560" t="s">
        <v>411</v>
      </c>
      <c r="F1560" t="s">
        <v>73</v>
      </c>
      <c r="G1560" t="s">
        <v>412</v>
      </c>
      <c r="H1560" t="s">
        <v>879</v>
      </c>
    </row>
    <row r="1561" spans="1:8">
      <c r="A1561" t="s">
        <v>138</v>
      </c>
      <c r="B1561">
        <v>2009</v>
      </c>
      <c r="C1561" t="s">
        <v>135</v>
      </c>
      <c r="D1561">
        <v>6.5223000000000003E-2</v>
      </c>
      <c r="E1561" t="s">
        <v>411</v>
      </c>
      <c r="F1561" t="s">
        <v>73</v>
      </c>
      <c r="G1561" t="s">
        <v>412</v>
      </c>
      <c r="H1561" t="s">
        <v>879</v>
      </c>
    </row>
    <row r="1562" spans="1:8">
      <c r="A1562" t="s">
        <v>138</v>
      </c>
      <c r="B1562">
        <v>2010</v>
      </c>
      <c r="C1562" t="s">
        <v>135</v>
      </c>
      <c r="D1562">
        <v>0.109717</v>
      </c>
      <c r="E1562" t="s">
        <v>411</v>
      </c>
      <c r="F1562" t="s">
        <v>73</v>
      </c>
      <c r="G1562" t="s">
        <v>412</v>
      </c>
      <c r="H1562" t="s">
        <v>879</v>
      </c>
    </row>
    <row r="1563" spans="1:8">
      <c r="A1563" t="s">
        <v>138</v>
      </c>
      <c r="B1563">
        <v>2011</v>
      </c>
      <c r="C1563" t="s">
        <v>135</v>
      </c>
      <c r="D1563">
        <v>0.13628199999999999</v>
      </c>
      <c r="E1563" t="s">
        <v>411</v>
      </c>
      <c r="F1563" t="s">
        <v>73</v>
      </c>
      <c r="G1563" t="s">
        <v>412</v>
      </c>
      <c r="H1563" t="s">
        <v>879</v>
      </c>
    </row>
    <row r="1564" spans="1:8">
      <c r="A1564" t="s">
        <v>138</v>
      </c>
      <c r="B1564">
        <v>2012</v>
      </c>
      <c r="C1564" t="s">
        <v>135</v>
      </c>
      <c r="D1564">
        <v>0.179011</v>
      </c>
      <c r="E1564" t="s">
        <v>411</v>
      </c>
      <c r="F1564" t="s">
        <v>73</v>
      </c>
      <c r="G1564" t="s">
        <v>412</v>
      </c>
      <c r="H1564" t="s">
        <v>879</v>
      </c>
    </row>
    <row r="1565" spans="1:8">
      <c r="A1565" t="s">
        <v>138</v>
      </c>
      <c r="B1565">
        <v>2013</v>
      </c>
      <c r="C1565" t="s">
        <v>135</v>
      </c>
      <c r="D1565">
        <v>0.226939</v>
      </c>
      <c r="E1565" t="s">
        <v>411</v>
      </c>
      <c r="F1565" t="s">
        <v>73</v>
      </c>
      <c r="G1565" t="s">
        <v>412</v>
      </c>
      <c r="H1565" t="s">
        <v>879</v>
      </c>
    </row>
    <row r="1566" spans="1:8">
      <c r="A1566" t="s">
        <v>138</v>
      </c>
      <c r="B1566">
        <v>2014</v>
      </c>
      <c r="C1566" t="s">
        <v>135</v>
      </c>
      <c r="D1566">
        <v>0.26491199999999998</v>
      </c>
      <c r="E1566" t="s">
        <v>411</v>
      </c>
      <c r="F1566" t="s">
        <v>73</v>
      </c>
      <c r="G1566" t="s">
        <v>412</v>
      </c>
      <c r="H1566" t="s">
        <v>879</v>
      </c>
    </row>
    <row r="1567" spans="1:8">
      <c r="A1567" t="s">
        <v>138</v>
      </c>
      <c r="B1567">
        <v>2015</v>
      </c>
      <c r="C1567" t="s">
        <v>135</v>
      </c>
      <c r="D1567">
        <v>0.196712</v>
      </c>
      <c r="E1567" t="s">
        <v>411</v>
      </c>
      <c r="F1567" t="s">
        <v>73</v>
      </c>
      <c r="G1567" t="s">
        <v>412</v>
      </c>
      <c r="H1567" t="s">
        <v>879</v>
      </c>
    </row>
    <row r="1568" spans="1:8">
      <c r="A1568" t="s">
        <v>138</v>
      </c>
      <c r="B1568">
        <v>2016</v>
      </c>
      <c r="C1568" t="s">
        <v>135</v>
      </c>
      <c r="D1568">
        <v>0.39547700000000002</v>
      </c>
      <c r="E1568" t="s">
        <v>411</v>
      </c>
      <c r="F1568" t="s">
        <v>73</v>
      </c>
      <c r="G1568" t="s">
        <v>412</v>
      </c>
      <c r="H1568" t="s">
        <v>879</v>
      </c>
    </row>
    <row r="1569" spans="1:8">
      <c r="A1569" t="s">
        <v>138</v>
      </c>
      <c r="B1569">
        <v>2017</v>
      </c>
      <c r="C1569" t="s">
        <v>135</v>
      </c>
      <c r="D1569">
        <v>0.381409</v>
      </c>
      <c r="E1569" t="s">
        <v>411</v>
      </c>
      <c r="F1569" t="s">
        <v>73</v>
      </c>
      <c r="G1569" t="s">
        <v>412</v>
      </c>
      <c r="H1569" t="s">
        <v>879</v>
      </c>
    </row>
    <row r="1570" spans="1:8">
      <c r="A1570" t="s">
        <v>138</v>
      </c>
      <c r="B1570">
        <v>2018</v>
      </c>
      <c r="C1570" t="s">
        <v>135</v>
      </c>
      <c r="D1570">
        <v>0.33409300000000003</v>
      </c>
      <c r="E1570" t="s">
        <v>411</v>
      </c>
      <c r="F1570" t="s">
        <v>73</v>
      </c>
      <c r="G1570" t="s">
        <v>412</v>
      </c>
      <c r="H1570" t="s">
        <v>879</v>
      </c>
    </row>
    <row r="1571" spans="1:8">
      <c r="A1571" t="s">
        <v>138</v>
      </c>
      <c r="B1571">
        <v>2019</v>
      </c>
      <c r="C1571" t="s">
        <v>135</v>
      </c>
      <c r="D1571">
        <v>0.34632200000000002</v>
      </c>
      <c r="E1571" t="s">
        <v>411</v>
      </c>
      <c r="F1571" t="s">
        <v>73</v>
      </c>
      <c r="G1571" t="s">
        <v>412</v>
      </c>
      <c r="H1571" t="s">
        <v>879</v>
      </c>
    </row>
    <row r="1572" spans="1:8">
      <c r="A1572" t="s">
        <v>138</v>
      </c>
      <c r="B1572">
        <v>2020</v>
      </c>
      <c r="C1572" t="s">
        <v>135</v>
      </c>
      <c r="D1572">
        <v>0.42988700000000002</v>
      </c>
      <c r="E1572" t="s">
        <v>411</v>
      </c>
      <c r="F1572" t="s">
        <v>73</v>
      </c>
      <c r="G1572" t="s">
        <v>412</v>
      </c>
      <c r="H1572" t="s">
        <v>879</v>
      </c>
    </row>
    <row r="1573" spans="1:8">
      <c r="A1573" t="s">
        <v>138</v>
      </c>
      <c r="B1573">
        <v>2021</v>
      </c>
      <c r="C1573" t="s">
        <v>135</v>
      </c>
      <c r="D1573">
        <v>0.47070100000000004</v>
      </c>
      <c r="E1573" t="s">
        <v>411</v>
      </c>
      <c r="F1573" t="s">
        <v>73</v>
      </c>
      <c r="G1573" t="s">
        <v>412</v>
      </c>
      <c r="H1573" t="s">
        <v>879</v>
      </c>
    </row>
    <row r="1574" spans="1:8">
      <c r="A1574" t="s">
        <v>138</v>
      </c>
      <c r="B1574">
        <v>2022</v>
      </c>
      <c r="C1574" t="s">
        <v>135</v>
      </c>
      <c r="D1574">
        <v>0.50778299999999998</v>
      </c>
      <c r="E1574" t="s">
        <v>411</v>
      </c>
      <c r="F1574" t="s">
        <v>73</v>
      </c>
      <c r="G1574" t="s">
        <v>412</v>
      </c>
      <c r="H1574" t="s">
        <v>879</v>
      </c>
    </row>
    <row r="1575" spans="1:8">
      <c r="A1575" t="s">
        <v>138</v>
      </c>
      <c r="B1575">
        <v>2023</v>
      </c>
      <c r="C1575" t="s">
        <v>135</v>
      </c>
      <c r="D1575">
        <v>0.347437</v>
      </c>
      <c r="E1575" t="s">
        <v>411</v>
      </c>
      <c r="F1575" t="s">
        <v>73</v>
      </c>
      <c r="G1575" t="s">
        <v>412</v>
      </c>
      <c r="H1575" t="s">
        <v>879</v>
      </c>
    </row>
    <row r="1576" spans="1:8">
      <c r="A1576" t="s">
        <v>415</v>
      </c>
      <c r="B1576">
        <v>2000</v>
      </c>
      <c r="C1576" t="s">
        <v>135</v>
      </c>
      <c r="D1576">
        <v>0.1</v>
      </c>
      <c r="E1576" t="s">
        <v>411</v>
      </c>
      <c r="F1576" t="s">
        <v>73</v>
      </c>
      <c r="G1576" t="s">
        <v>412</v>
      </c>
      <c r="H1576" t="s">
        <v>879</v>
      </c>
    </row>
    <row r="1577" spans="1:8">
      <c r="A1577" t="s">
        <v>416</v>
      </c>
      <c r="B1577">
        <v>2000</v>
      </c>
      <c r="C1577" t="s">
        <v>135</v>
      </c>
      <c r="D1577">
        <v>0.2</v>
      </c>
      <c r="E1577" t="s">
        <v>411</v>
      </c>
      <c r="F1577" t="s">
        <v>73</v>
      </c>
      <c r="G1577" t="s">
        <v>412</v>
      </c>
      <c r="H1577" t="s">
        <v>879</v>
      </c>
    </row>
    <row r="1578" spans="1:8">
      <c r="A1578" t="s">
        <v>415</v>
      </c>
      <c r="B1578">
        <v>2001</v>
      </c>
      <c r="C1578" t="s">
        <v>135</v>
      </c>
      <c r="D1578">
        <v>0.3</v>
      </c>
      <c r="E1578" t="s">
        <v>411</v>
      </c>
      <c r="F1578" t="s">
        <v>73</v>
      </c>
      <c r="G1578" t="s">
        <v>412</v>
      </c>
      <c r="H1578" t="s">
        <v>879</v>
      </c>
    </row>
    <row r="1579" spans="1:8">
      <c r="A1579" t="s">
        <v>416</v>
      </c>
      <c r="B1579">
        <v>2001</v>
      </c>
      <c r="C1579" t="s">
        <v>135</v>
      </c>
      <c r="D1579">
        <v>0</v>
      </c>
      <c r="E1579" t="s">
        <v>411</v>
      </c>
      <c r="F1579" t="s">
        <v>73</v>
      </c>
      <c r="G1579" t="s">
        <v>412</v>
      </c>
      <c r="H1579" t="s">
        <v>879</v>
      </c>
    </row>
    <row r="1580" spans="1:8">
      <c r="A1580" t="s">
        <v>415</v>
      </c>
      <c r="B1580">
        <v>2002</v>
      </c>
      <c r="C1580" t="s">
        <v>135</v>
      </c>
      <c r="D1580">
        <v>0.1</v>
      </c>
      <c r="E1580" t="s">
        <v>411</v>
      </c>
      <c r="F1580" t="s">
        <v>73</v>
      </c>
      <c r="G1580" t="s">
        <v>412</v>
      </c>
      <c r="H1580" t="s">
        <v>879</v>
      </c>
    </row>
    <row r="1581" spans="1:8">
      <c r="A1581" t="s">
        <v>416</v>
      </c>
      <c r="B1581">
        <v>2002</v>
      </c>
      <c r="C1581" t="s">
        <v>135</v>
      </c>
      <c r="D1581">
        <v>0.6</v>
      </c>
      <c r="E1581" t="s">
        <v>411</v>
      </c>
      <c r="F1581" t="s">
        <v>73</v>
      </c>
      <c r="G1581" t="s">
        <v>412</v>
      </c>
      <c r="H1581" t="s">
        <v>879</v>
      </c>
    </row>
    <row r="1582" spans="1:8">
      <c r="A1582" t="s">
        <v>415</v>
      </c>
      <c r="B1582">
        <v>2003</v>
      </c>
      <c r="C1582" t="s">
        <v>135</v>
      </c>
      <c r="D1582">
        <v>0</v>
      </c>
      <c r="E1582" t="s">
        <v>411</v>
      </c>
      <c r="F1582" t="s">
        <v>73</v>
      </c>
      <c r="G1582" t="s">
        <v>412</v>
      </c>
      <c r="H1582" t="s">
        <v>879</v>
      </c>
    </row>
    <row r="1583" spans="1:8">
      <c r="A1583" t="s">
        <v>416</v>
      </c>
      <c r="B1583">
        <v>2003</v>
      </c>
      <c r="C1583" t="s">
        <v>135</v>
      </c>
      <c r="D1583">
        <v>1.2</v>
      </c>
      <c r="E1583" t="s">
        <v>411</v>
      </c>
      <c r="F1583" t="s">
        <v>73</v>
      </c>
      <c r="G1583" t="s">
        <v>412</v>
      </c>
      <c r="H1583" t="s">
        <v>879</v>
      </c>
    </row>
    <row r="1584" spans="1:8">
      <c r="A1584" t="s">
        <v>415</v>
      </c>
      <c r="B1584">
        <v>2004</v>
      </c>
      <c r="C1584" t="s">
        <v>135</v>
      </c>
      <c r="D1584">
        <v>0</v>
      </c>
      <c r="E1584" t="s">
        <v>411</v>
      </c>
      <c r="F1584" t="s">
        <v>73</v>
      </c>
      <c r="G1584" t="s">
        <v>412</v>
      </c>
      <c r="H1584" t="s">
        <v>879</v>
      </c>
    </row>
    <row r="1585" spans="1:8">
      <c r="A1585" t="s">
        <v>416</v>
      </c>
      <c r="B1585">
        <v>2004</v>
      </c>
      <c r="C1585" t="s">
        <v>135</v>
      </c>
      <c r="D1585">
        <v>1.6</v>
      </c>
      <c r="E1585" t="s">
        <v>411</v>
      </c>
      <c r="F1585" t="s">
        <v>73</v>
      </c>
      <c r="G1585" t="s">
        <v>412</v>
      </c>
      <c r="H1585" t="s">
        <v>879</v>
      </c>
    </row>
    <row r="1586" spans="1:8">
      <c r="A1586" t="s">
        <v>415</v>
      </c>
      <c r="B1586">
        <v>2005</v>
      </c>
      <c r="C1586" t="s">
        <v>135</v>
      </c>
      <c r="D1586">
        <v>0</v>
      </c>
      <c r="E1586" t="s">
        <v>411</v>
      </c>
      <c r="F1586" t="s">
        <v>73</v>
      </c>
      <c r="G1586" t="s">
        <v>412</v>
      </c>
      <c r="H1586" t="s">
        <v>879</v>
      </c>
    </row>
    <row r="1587" spans="1:8">
      <c r="A1587" t="s">
        <v>416</v>
      </c>
      <c r="B1587">
        <v>2005</v>
      </c>
      <c r="C1587" t="s">
        <v>135</v>
      </c>
      <c r="D1587">
        <v>2</v>
      </c>
      <c r="E1587" t="s">
        <v>411</v>
      </c>
      <c r="F1587" t="s">
        <v>73</v>
      </c>
      <c r="G1587" t="s">
        <v>412</v>
      </c>
      <c r="H1587" t="s">
        <v>879</v>
      </c>
    </row>
    <row r="1588" spans="1:8">
      <c r="A1588" t="s">
        <v>415</v>
      </c>
      <c r="B1588">
        <v>2006</v>
      </c>
      <c r="C1588" t="s">
        <v>135</v>
      </c>
      <c r="D1588">
        <v>0</v>
      </c>
      <c r="E1588" t="s">
        <v>411</v>
      </c>
      <c r="F1588" t="s">
        <v>73</v>
      </c>
      <c r="G1588" t="s">
        <v>412</v>
      </c>
      <c r="H1588" t="s">
        <v>879</v>
      </c>
    </row>
    <row r="1589" spans="1:8">
      <c r="A1589" t="s">
        <v>416</v>
      </c>
      <c r="B1589">
        <v>2006</v>
      </c>
      <c r="C1589" t="s">
        <v>135</v>
      </c>
      <c r="D1589">
        <v>1.8</v>
      </c>
      <c r="E1589" t="s">
        <v>411</v>
      </c>
      <c r="F1589" t="s">
        <v>73</v>
      </c>
      <c r="G1589" t="s">
        <v>412</v>
      </c>
      <c r="H1589" t="s">
        <v>879</v>
      </c>
    </row>
    <row r="1590" spans="1:8">
      <c r="A1590" t="s">
        <v>415</v>
      </c>
      <c r="B1590">
        <v>2007</v>
      </c>
      <c r="C1590" t="s">
        <v>135</v>
      </c>
      <c r="D1590">
        <v>0.1</v>
      </c>
      <c r="E1590" t="s">
        <v>411</v>
      </c>
      <c r="F1590" t="s">
        <v>73</v>
      </c>
      <c r="G1590" t="s">
        <v>412</v>
      </c>
      <c r="H1590" t="s">
        <v>879</v>
      </c>
    </row>
    <row r="1591" spans="1:8">
      <c r="A1591" t="s">
        <v>416</v>
      </c>
      <c r="B1591">
        <v>2007</v>
      </c>
      <c r="C1591" t="s">
        <v>135</v>
      </c>
      <c r="D1591">
        <v>1.4</v>
      </c>
      <c r="E1591" t="s">
        <v>411</v>
      </c>
      <c r="F1591" t="s">
        <v>73</v>
      </c>
      <c r="G1591" t="s">
        <v>412</v>
      </c>
      <c r="H1591" t="s">
        <v>879</v>
      </c>
    </row>
    <row r="1592" spans="1:8">
      <c r="A1592" t="s">
        <v>415</v>
      </c>
      <c r="B1592">
        <v>2008</v>
      </c>
      <c r="C1592" t="s">
        <v>135</v>
      </c>
      <c r="D1592">
        <v>0.3</v>
      </c>
      <c r="E1592" t="s">
        <v>411</v>
      </c>
      <c r="F1592" t="s">
        <v>73</v>
      </c>
      <c r="G1592" t="s">
        <v>412</v>
      </c>
      <c r="H1592" t="s">
        <v>879</v>
      </c>
    </row>
    <row r="1593" spans="1:8">
      <c r="A1593" t="s">
        <v>416</v>
      </c>
      <c r="B1593">
        <v>2008</v>
      </c>
      <c r="C1593" t="s">
        <v>135</v>
      </c>
      <c r="D1593">
        <v>0.8</v>
      </c>
      <c r="E1593" t="s">
        <v>411</v>
      </c>
      <c r="F1593" t="s">
        <v>73</v>
      </c>
      <c r="G1593" t="s">
        <v>412</v>
      </c>
      <c r="H1593" t="s">
        <v>879</v>
      </c>
    </row>
    <row r="1594" spans="1:8">
      <c r="A1594" t="s">
        <v>415</v>
      </c>
      <c r="B1594">
        <v>2009</v>
      </c>
      <c r="C1594" t="s">
        <v>135</v>
      </c>
      <c r="D1594">
        <v>0.2</v>
      </c>
      <c r="E1594" t="s">
        <v>411</v>
      </c>
      <c r="F1594" t="s">
        <v>73</v>
      </c>
      <c r="G1594" t="s">
        <v>412</v>
      </c>
      <c r="H1594" t="s">
        <v>879</v>
      </c>
    </row>
    <row r="1595" spans="1:8">
      <c r="A1595" t="s">
        <v>416</v>
      </c>
      <c r="B1595">
        <v>2009</v>
      </c>
      <c r="C1595" t="s">
        <v>135</v>
      </c>
      <c r="D1595">
        <v>0.9</v>
      </c>
      <c r="E1595" t="s">
        <v>411</v>
      </c>
      <c r="F1595" t="s">
        <v>73</v>
      </c>
      <c r="G1595" t="s">
        <v>412</v>
      </c>
      <c r="H1595" t="s">
        <v>879</v>
      </c>
    </row>
    <row r="1596" spans="1:8">
      <c r="A1596" t="s">
        <v>415</v>
      </c>
      <c r="B1596">
        <v>2010</v>
      </c>
      <c r="C1596" t="s">
        <v>135</v>
      </c>
      <c r="D1596">
        <v>0.3</v>
      </c>
      <c r="E1596" t="s">
        <v>411</v>
      </c>
      <c r="F1596" t="s">
        <v>73</v>
      </c>
      <c r="G1596" t="s">
        <v>412</v>
      </c>
      <c r="H1596" t="s">
        <v>879</v>
      </c>
    </row>
    <row r="1597" spans="1:8">
      <c r="A1597" t="s">
        <v>416</v>
      </c>
      <c r="B1597">
        <v>2010</v>
      </c>
      <c r="C1597" t="s">
        <v>135</v>
      </c>
      <c r="D1597">
        <v>0.8</v>
      </c>
      <c r="E1597" t="s">
        <v>411</v>
      </c>
      <c r="F1597" t="s">
        <v>73</v>
      </c>
      <c r="G1597" t="s">
        <v>412</v>
      </c>
      <c r="H1597" t="s">
        <v>879</v>
      </c>
    </row>
    <row r="1598" spans="1:8">
      <c r="A1598" t="s">
        <v>415</v>
      </c>
      <c r="B1598">
        <v>2011</v>
      </c>
      <c r="C1598" t="s">
        <v>135</v>
      </c>
      <c r="D1598">
        <v>0.2</v>
      </c>
      <c r="E1598" t="s">
        <v>411</v>
      </c>
      <c r="F1598" t="s">
        <v>73</v>
      </c>
      <c r="G1598" t="s">
        <v>412</v>
      </c>
      <c r="H1598" t="s">
        <v>879</v>
      </c>
    </row>
    <row r="1599" spans="1:8">
      <c r="A1599" t="s">
        <v>416</v>
      </c>
      <c r="B1599">
        <v>2011</v>
      </c>
      <c r="C1599" t="s">
        <v>135</v>
      </c>
      <c r="D1599">
        <v>0.7</v>
      </c>
      <c r="E1599" t="s">
        <v>411</v>
      </c>
      <c r="F1599" t="s">
        <v>73</v>
      </c>
      <c r="G1599" t="s">
        <v>412</v>
      </c>
      <c r="H1599" t="s">
        <v>879</v>
      </c>
    </row>
    <row r="1600" spans="1:8">
      <c r="A1600" t="s">
        <v>415</v>
      </c>
      <c r="B1600">
        <v>2012</v>
      </c>
      <c r="C1600" t="s">
        <v>135</v>
      </c>
      <c r="D1600">
        <v>0.4</v>
      </c>
      <c r="E1600" t="s">
        <v>411</v>
      </c>
      <c r="F1600" t="s">
        <v>73</v>
      </c>
      <c r="G1600" t="s">
        <v>412</v>
      </c>
      <c r="H1600" t="s">
        <v>879</v>
      </c>
    </row>
    <row r="1601" spans="1:8">
      <c r="A1601" t="s">
        <v>416</v>
      </c>
      <c r="B1601">
        <v>2012</v>
      </c>
      <c r="C1601" t="s">
        <v>135</v>
      </c>
      <c r="D1601">
        <v>0.8</v>
      </c>
      <c r="E1601" t="s">
        <v>411</v>
      </c>
      <c r="F1601" t="s">
        <v>73</v>
      </c>
      <c r="G1601" t="s">
        <v>412</v>
      </c>
      <c r="H1601" t="s">
        <v>879</v>
      </c>
    </row>
    <row r="1602" spans="1:8">
      <c r="A1602" t="s">
        <v>415</v>
      </c>
      <c r="B1602">
        <v>2013</v>
      </c>
      <c r="C1602" t="s">
        <v>135</v>
      </c>
      <c r="D1602">
        <v>0.4</v>
      </c>
      <c r="E1602" t="s">
        <v>411</v>
      </c>
      <c r="F1602" t="s">
        <v>73</v>
      </c>
      <c r="G1602" t="s">
        <v>412</v>
      </c>
      <c r="H1602" t="s">
        <v>879</v>
      </c>
    </row>
    <row r="1603" spans="1:8">
      <c r="A1603" t="s">
        <v>416</v>
      </c>
      <c r="B1603">
        <v>2013</v>
      </c>
      <c r="C1603" t="s">
        <v>135</v>
      </c>
      <c r="D1603">
        <v>2.6</v>
      </c>
      <c r="E1603" t="s">
        <v>411</v>
      </c>
      <c r="F1603" t="s">
        <v>73</v>
      </c>
      <c r="G1603" t="s">
        <v>412</v>
      </c>
      <c r="H1603" t="s">
        <v>879</v>
      </c>
    </row>
    <row r="1604" spans="1:8">
      <c r="A1604" t="s">
        <v>415</v>
      </c>
      <c r="B1604">
        <v>2014</v>
      </c>
      <c r="C1604" t="s">
        <v>135</v>
      </c>
      <c r="D1604">
        <v>0.7</v>
      </c>
      <c r="E1604" t="s">
        <v>411</v>
      </c>
      <c r="F1604" t="s">
        <v>73</v>
      </c>
      <c r="G1604" t="s">
        <v>412</v>
      </c>
      <c r="H1604" t="s">
        <v>879</v>
      </c>
    </row>
    <row r="1605" spans="1:8">
      <c r="A1605" t="s">
        <v>416</v>
      </c>
      <c r="B1605">
        <v>2014</v>
      </c>
      <c r="C1605" t="s">
        <v>135</v>
      </c>
      <c r="D1605">
        <v>2.9</v>
      </c>
      <c r="E1605" t="s">
        <v>411</v>
      </c>
      <c r="F1605" t="s">
        <v>73</v>
      </c>
      <c r="G1605" t="s">
        <v>412</v>
      </c>
      <c r="H1605" t="s">
        <v>879</v>
      </c>
    </row>
    <row r="1606" spans="1:8">
      <c r="A1606" t="s">
        <v>415</v>
      </c>
      <c r="B1606">
        <v>2015</v>
      </c>
      <c r="C1606" t="s">
        <v>135</v>
      </c>
      <c r="D1606">
        <v>1.1000000000000001</v>
      </c>
      <c r="E1606" t="s">
        <v>411</v>
      </c>
      <c r="F1606" t="s">
        <v>73</v>
      </c>
      <c r="G1606" t="s">
        <v>412</v>
      </c>
      <c r="H1606" t="s">
        <v>879</v>
      </c>
    </row>
    <row r="1607" spans="1:8">
      <c r="A1607" t="s">
        <v>416</v>
      </c>
      <c r="B1607">
        <v>2015</v>
      </c>
      <c r="C1607" t="s">
        <v>135</v>
      </c>
      <c r="D1607">
        <v>1.8</v>
      </c>
      <c r="E1607" t="s">
        <v>411</v>
      </c>
      <c r="F1607" t="s">
        <v>73</v>
      </c>
      <c r="G1607" t="s">
        <v>412</v>
      </c>
      <c r="H1607" t="s">
        <v>879</v>
      </c>
    </row>
    <row r="1608" spans="1:8">
      <c r="A1608" t="s">
        <v>415</v>
      </c>
      <c r="B1608">
        <v>2016</v>
      </c>
      <c r="C1608" t="s">
        <v>135</v>
      </c>
      <c r="D1608">
        <v>1.6</v>
      </c>
      <c r="E1608" t="s">
        <v>411</v>
      </c>
      <c r="F1608" t="s">
        <v>73</v>
      </c>
      <c r="G1608" t="s">
        <v>412</v>
      </c>
      <c r="H1608" t="s">
        <v>879</v>
      </c>
    </row>
    <row r="1609" spans="1:8">
      <c r="A1609" t="s">
        <v>416</v>
      </c>
      <c r="B1609">
        <v>2016</v>
      </c>
      <c r="C1609" t="s">
        <v>135</v>
      </c>
      <c r="D1609">
        <v>0.9</v>
      </c>
      <c r="E1609" t="s">
        <v>411</v>
      </c>
      <c r="F1609" t="s">
        <v>73</v>
      </c>
      <c r="G1609" t="s">
        <v>412</v>
      </c>
      <c r="H1609" t="s">
        <v>879</v>
      </c>
    </row>
    <row r="1610" spans="1:8">
      <c r="A1610" t="s">
        <v>415</v>
      </c>
      <c r="B1610">
        <v>2017</v>
      </c>
      <c r="C1610" t="s">
        <v>135</v>
      </c>
      <c r="D1610">
        <v>1.8</v>
      </c>
      <c r="E1610" t="s">
        <v>411</v>
      </c>
      <c r="F1610" t="s">
        <v>73</v>
      </c>
      <c r="G1610" t="s">
        <v>412</v>
      </c>
      <c r="H1610" t="s">
        <v>879</v>
      </c>
    </row>
    <row r="1611" spans="1:8">
      <c r="A1611" t="s">
        <v>416</v>
      </c>
      <c r="B1611">
        <v>2017</v>
      </c>
      <c r="C1611" t="s">
        <v>135</v>
      </c>
      <c r="D1611">
        <v>1.1000000000000001</v>
      </c>
      <c r="E1611" t="s">
        <v>411</v>
      </c>
      <c r="F1611" t="s">
        <v>73</v>
      </c>
      <c r="G1611" t="s">
        <v>412</v>
      </c>
      <c r="H1611" t="s">
        <v>879</v>
      </c>
    </row>
    <row r="1612" spans="1:8">
      <c r="A1612" t="s">
        <v>415</v>
      </c>
      <c r="B1612">
        <v>2018</v>
      </c>
      <c r="C1612" t="s">
        <v>135</v>
      </c>
      <c r="D1612">
        <v>1.6</v>
      </c>
      <c r="E1612" t="s">
        <v>411</v>
      </c>
      <c r="F1612" t="s">
        <v>73</v>
      </c>
      <c r="G1612" t="s">
        <v>412</v>
      </c>
      <c r="H1612" t="s">
        <v>879</v>
      </c>
    </row>
    <row r="1613" spans="1:8">
      <c r="A1613" t="s">
        <v>416</v>
      </c>
      <c r="B1613">
        <v>2018</v>
      </c>
      <c r="C1613" t="s">
        <v>135</v>
      </c>
      <c r="D1613">
        <v>1.6</v>
      </c>
      <c r="E1613" t="s">
        <v>411</v>
      </c>
      <c r="F1613" t="s">
        <v>73</v>
      </c>
      <c r="G1613" t="s">
        <v>412</v>
      </c>
      <c r="H1613" t="s">
        <v>879</v>
      </c>
    </row>
    <row r="1614" spans="1:8">
      <c r="A1614" t="s">
        <v>415</v>
      </c>
      <c r="B1614">
        <v>2019</v>
      </c>
      <c r="C1614" t="s">
        <v>135</v>
      </c>
      <c r="D1614">
        <v>1.5</v>
      </c>
      <c r="E1614" t="s">
        <v>411</v>
      </c>
      <c r="F1614" t="s">
        <v>73</v>
      </c>
      <c r="G1614" t="s">
        <v>412</v>
      </c>
      <c r="H1614" t="s">
        <v>879</v>
      </c>
    </row>
    <row r="1615" spans="1:8">
      <c r="A1615" t="s">
        <v>416</v>
      </c>
      <c r="B1615">
        <v>2019</v>
      </c>
      <c r="C1615" t="s">
        <v>135</v>
      </c>
      <c r="D1615">
        <v>2.2000000000000002</v>
      </c>
      <c r="E1615" t="s">
        <v>411</v>
      </c>
      <c r="F1615" t="s">
        <v>73</v>
      </c>
      <c r="G1615" t="s">
        <v>412</v>
      </c>
      <c r="H1615" t="s">
        <v>879</v>
      </c>
    </row>
    <row r="1616" spans="1:8">
      <c r="A1616" t="s">
        <v>415</v>
      </c>
      <c r="B1616">
        <v>2020</v>
      </c>
      <c r="C1616" t="s">
        <v>135</v>
      </c>
      <c r="D1616">
        <v>1.9</v>
      </c>
      <c r="E1616" t="s">
        <v>411</v>
      </c>
      <c r="F1616" t="s">
        <v>73</v>
      </c>
      <c r="G1616" t="s">
        <v>412</v>
      </c>
      <c r="H1616" t="s">
        <v>879</v>
      </c>
    </row>
    <row r="1617" spans="1:8">
      <c r="A1617" t="s">
        <v>416</v>
      </c>
      <c r="B1617">
        <v>2020</v>
      </c>
      <c r="C1617" t="s">
        <v>135</v>
      </c>
      <c r="D1617">
        <v>1.8</v>
      </c>
      <c r="E1617" t="s">
        <v>411</v>
      </c>
      <c r="F1617" t="s">
        <v>73</v>
      </c>
      <c r="G1617" t="s">
        <v>412</v>
      </c>
      <c r="H1617" t="s">
        <v>879</v>
      </c>
    </row>
    <row r="1618" spans="1:8">
      <c r="A1618" t="s">
        <v>415</v>
      </c>
      <c r="B1618">
        <v>2021</v>
      </c>
      <c r="C1618" t="s">
        <v>135</v>
      </c>
      <c r="D1618">
        <v>0.9</v>
      </c>
      <c r="E1618" t="s">
        <v>411</v>
      </c>
      <c r="F1618" t="s">
        <v>73</v>
      </c>
      <c r="G1618" t="s">
        <v>412</v>
      </c>
      <c r="H1618" t="s">
        <v>879</v>
      </c>
    </row>
    <row r="1619" spans="1:8">
      <c r="A1619" t="s">
        <v>416</v>
      </c>
      <c r="B1619">
        <v>2021</v>
      </c>
      <c r="C1619" t="s">
        <v>135</v>
      </c>
      <c r="D1619">
        <v>2.5</v>
      </c>
      <c r="E1619" t="s">
        <v>411</v>
      </c>
      <c r="F1619" t="s">
        <v>73</v>
      </c>
      <c r="G1619" t="s">
        <v>412</v>
      </c>
      <c r="H1619" t="s">
        <v>879</v>
      </c>
    </row>
    <row r="1620" spans="1:8">
      <c r="A1620" t="s">
        <v>415</v>
      </c>
      <c r="B1620">
        <v>2022</v>
      </c>
      <c r="C1620" t="s">
        <v>135</v>
      </c>
      <c r="D1620">
        <v>1.3</v>
      </c>
      <c r="E1620" t="s">
        <v>411</v>
      </c>
      <c r="F1620" t="s">
        <v>73</v>
      </c>
      <c r="G1620" t="s">
        <v>412</v>
      </c>
      <c r="H1620" t="s">
        <v>879</v>
      </c>
    </row>
    <row r="1621" spans="1:8">
      <c r="A1621" t="s">
        <v>416</v>
      </c>
      <c r="B1621">
        <v>2022</v>
      </c>
      <c r="C1621" t="s">
        <v>135</v>
      </c>
      <c r="D1621">
        <v>1.6</v>
      </c>
      <c r="E1621" t="s">
        <v>411</v>
      </c>
      <c r="F1621" t="s">
        <v>73</v>
      </c>
      <c r="G1621" t="s">
        <v>412</v>
      </c>
      <c r="H1621" t="s">
        <v>879</v>
      </c>
    </row>
    <row r="1622" spans="1:8">
      <c r="A1622" t="s">
        <v>415</v>
      </c>
      <c r="B1622">
        <v>2023</v>
      </c>
      <c r="C1622" t="s">
        <v>135</v>
      </c>
      <c r="D1622">
        <v>0.4</v>
      </c>
      <c r="E1622" t="s">
        <v>411</v>
      </c>
      <c r="F1622" t="s">
        <v>73</v>
      </c>
      <c r="G1622" t="s">
        <v>412</v>
      </c>
      <c r="H1622" t="s">
        <v>879</v>
      </c>
    </row>
    <row r="1623" spans="1:8">
      <c r="A1623" t="s">
        <v>416</v>
      </c>
      <c r="B1623">
        <v>2023</v>
      </c>
      <c r="C1623" t="s">
        <v>135</v>
      </c>
      <c r="D1623">
        <v>3.7</v>
      </c>
      <c r="E1623" t="s">
        <v>411</v>
      </c>
      <c r="F1623" t="s">
        <v>73</v>
      </c>
      <c r="G1623" t="s">
        <v>412</v>
      </c>
      <c r="H1623" t="s">
        <v>879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8"/>
  <sheetViews>
    <sheetView zoomScaleNormal="100" workbookViewId="0">
      <selection activeCell="A9" sqref="A9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114</v>
      </c>
      <c r="C5" t="s">
        <v>222</v>
      </c>
      <c r="D5">
        <v>1E-3</v>
      </c>
    </row>
    <row r="6" spans="1:4">
      <c r="A6" t="s">
        <v>76</v>
      </c>
      <c r="B6" t="s">
        <v>115</v>
      </c>
      <c r="C6" t="s">
        <v>222</v>
      </c>
      <c r="D6">
        <v>-1E-3</v>
      </c>
    </row>
    <row r="7" spans="1:4">
      <c r="A7" t="s">
        <v>76</v>
      </c>
      <c r="B7" t="s">
        <v>125</v>
      </c>
      <c r="C7" t="s">
        <v>127</v>
      </c>
      <c r="D7">
        <v>-1000</v>
      </c>
    </row>
    <row r="8" spans="1:4">
      <c r="A8" t="s">
        <v>76</v>
      </c>
      <c r="B8" t="s">
        <v>329</v>
      </c>
      <c r="C8" t="s">
        <v>135</v>
      </c>
      <c r="D8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B9FA-2123-4D4E-A074-E33EDFA4FB06}">
  <dimension ref="A1:L58"/>
  <sheetViews>
    <sheetView workbookViewId="0">
      <selection sqref="A1:H1"/>
    </sheetView>
  </sheetViews>
  <sheetFormatPr defaultRowHeight="14.25"/>
  <cols>
    <col min="2" max="2" width="10.59765625" customWidth="1"/>
    <col min="3" max="4" width="14" bestFit="1" customWidth="1"/>
    <col min="6" max="6" width="14" bestFit="1" customWidth="1"/>
    <col min="7" max="7" width="10.59765625" customWidth="1"/>
    <col min="8" max="8" width="12.53125" bestFit="1" customWidth="1"/>
    <col min="10" max="10" width="10.59765625" customWidth="1"/>
    <col min="11" max="12" width="13.9296875" bestFit="1" customWidth="1"/>
  </cols>
  <sheetData>
    <row r="1" spans="1:12" ht="22.05" customHeight="1">
      <c r="A1" s="18" t="s">
        <v>518</v>
      </c>
      <c r="B1" s="18"/>
      <c r="C1" s="18"/>
      <c r="D1" s="18"/>
      <c r="E1" s="18"/>
      <c r="F1" s="18"/>
      <c r="G1" s="18"/>
      <c r="H1" s="18"/>
    </row>
    <row r="9" spans="1:12" ht="14.65" thickBot="1">
      <c r="B9" s="8" t="s">
        <v>57</v>
      </c>
      <c r="F9" s="8" t="s">
        <v>57</v>
      </c>
      <c r="J9" s="8" t="s">
        <v>66</v>
      </c>
    </row>
    <row r="10" spans="1:12" ht="15.75" thickBot="1">
      <c r="B10" s="9" t="s">
        <v>46</v>
      </c>
      <c r="C10" s="9" t="s">
        <v>48</v>
      </c>
      <c r="D10" s="9" t="s">
        <v>58</v>
      </c>
      <c r="F10" s="9" t="s">
        <v>58</v>
      </c>
      <c r="G10" s="9" t="s">
        <v>46</v>
      </c>
      <c r="H10" s="9" t="s">
        <v>48</v>
      </c>
      <c r="J10" s="9" t="s">
        <v>46</v>
      </c>
      <c r="K10" s="9" t="s">
        <v>47</v>
      </c>
      <c r="L10" s="9" t="s">
        <v>48</v>
      </c>
    </row>
    <row r="11" spans="1:12">
      <c r="B11" s="10" t="s">
        <v>417</v>
      </c>
      <c r="C11" s="10" t="s">
        <v>734</v>
      </c>
      <c r="D11" s="10" t="s">
        <v>734</v>
      </c>
      <c r="F11" s="10" t="s">
        <v>734</v>
      </c>
      <c r="G11" s="10" t="s">
        <v>519</v>
      </c>
      <c r="H11" s="10" t="s">
        <v>735</v>
      </c>
      <c r="J11" s="10" t="s">
        <v>530</v>
      </c>
      <c r="K11" s="10" t="s">
        <v>736</v>
      </c>
      <c r="L11" s="10" t="s">
        <v>736</v>
      </c>
    </row>
    <row r="12" spans="1:12">
      <c r="B12" s="13" t="s">
        <v>417</v>
      </c>
      <c r="C12" s="13" t="s">
        <v>737</v>
      </c>
      <c r="D12" s="13" t="s">
        <v>737</v>
      </c>
      <c r="F12" s="13" t="s">
        <v>737</v>
      </c>
      <c r="G12" s="13" t="s">
        <v>519</v>
      </c>
      <c r="H12" s="13" t="s">
        <v>735</v>
      </c>
      <c r="J12" s="13" t="s">
        <v>530</v>
      </c>
      <c r="K12" s="13" t="s">
        <v>738</v>
      </c>
      <c r="L12" s="13" t="s">
        <v>738</v>
      </c>
    </row>
    <row r="13" spans="1:12">
      <c r="B13" s="10" t="s">
        <v>417</v>
      </c>
      <c r="C13" s="10" t="s">
        <v>739</v>
      </c>
      <c r="D13" s="10" t="s">
        <v>739</v>
      </c>
      <c r="F13" s="10" t="s">
        <v>739</v>
      </c>
      <c r="G13" s="10" t="s">
        <v>519</v>
      </c>
      <c r="H13" s="10" t="s">
        <v>735</v>
      </c>
      <c r="J13" s="10" t="s">
        <v>530</v>
      </c>
      <c r="K13" s="10" t="s">
        <v>740</v>
      </c>
      <c r="L13" s="10" t="s">
        <v>740</v>
      </c>
    </row>
    <row r="14" spans="1:12">
      <c r="B14" s="13" t="s">
        <v>417</v>
      </c>
      <c r="C14" s="13" t="s">
        <v>741</v>
      </c>
      <c r="D14" s="13" t="s">
        <v>741</v>
      </c>
      <c r="F14" s="13" t="s">
        <v>741</v>
      </c>
      <c r="G14" s="13" t="s">
        <v>519</v>
      </c>
      <c r="H14" s="13" t="s">
        <v>735</v>
      </c>
      <c r="J14" s="13" t="s">
        <v>530</v>
      </c>
      <c r="K14" s="13" t="s">
        <v>742</v>
      </c>
      <c r="L14" s="13" t="s">
        <v>742</v>
      </c>
    </row>
    <row r="15" spans="1:12">
      <c r="B15" s="10" t="s">
        <v>417</v>
      </c>
      <c r="C15" s="10" t="s">
        <v>743</v>
      </c>
      <c r="D15" s="10" t="s">
        <v>743</v>
      </c>
      <c r="F15" s="10" t="s">
        <v>743</v>
      </c>
      <c r="G15" s="10" t="s">
        <v>519</v>
      </c>
      <c r="H15" s="10" t="s">
        <v>735</v>
      </c>
      <c r="J15" s="10" t="s">
        <v>530</v>
      </c>
      <c r="K15" s="10" t="s">
        <v>744</v>
      </c>
      <c r="L15" s="10" t="s">
        <v>744</v>
      </c>
    </row>
    <row r="16" spans="1:12">
      <c r="B16" s="13" t="s">
        <v>417</v>
      </c>
      <c r="C16" s="13" t="s">
        <v>745</v>
      </c>
      <c r="D16" s="13" t="s">
        <v>745</v>
      </c>
      <c r="F16" s="13" t="s">
        <v>745</v>
      </c>
      <c r="G16" s="13" t="s">
        <v>519</v>
      </c>
      <c r="H16" s="13" t="s">
        <v>735</v>
      </c>
      <c r="J16" s="13" t="s">
        <v>530</v>
      </c>
      <c r="K16" s="13" t="s">
        <v>746</v>
      </c>
      <c r="L16" s="13" t="s">
        <v>746</v>
      </c>
    </row>
    <row r="17" spans="2:12">
      <c r="B17" s="10" t="s">
        <v>417</v>
      </c>
      <c r="C17" s="10" t="s">
        <v>747</v>
      </c>
      <c r="D17" s="10" t="s">
        <v>747</v>
      </c>
      <c r="F17" s="10" t="s">
        <v>747</v>
      </c>
      <c r="G17" s="10" t="s">
        <v>519</v>
      </c>
      <c r="H17" s="10" t="s">
        <v>735</v>
      </c>
      <c r="J17" s="10" t="s">
        <v>530</v>
      </c>
      <c r="K17" s="10" t="s">
        <v>748</v>
      </c>
      <c r="L17" s="10" t="s">
        <v>748</v>
      </c>
    </row>
    <row r="18" spans="2:12">
      <c r="B18" s="13" t="s">
        <v>417</v>
      </c>
      <c r="C18" s="13" t="s">
        <v>749</v>
      </c>
      <c r="D18" s="13" t="s">
        <v>749</v>
      </c>
      <c r="F18" s="13" t="s">
        <v>749</v>
      </c>
      <c r="G18" s="13" t="s">
        <v>519</v>
      </c>
      <c r="H18" s="13" t="s">
        <v>735</v>
      </c>
      <c r="J18" s="13" t="s">
        <v>530</v>
      </c>
      <c r="K18" s="13" t="s">
        <v>750</v>
      </c>
      <c r="L18" s="13" t="s">
        <v>750</v>
      </c>
    </row>
    <row r="19" spans="2:12">
      <c r="B19" s="10" t="s">
        <v>417</v>
      </c>
      <c r="C19" s="10" t="s">
        <v>751</v>
      </c>
      <c r="D19" s="10" t="s">
        <v>751</v>
      </c>
      <c r="F19" s="10" t="s">
        <v>751</v>
      </c>
      <c r="G19" s="10" t="s">
        <v>519</v>
      </c>
      <c r="H19" s="10" t="s">
        <v>735</v>
      </c>
      <c r="J19" s="10" t="s">
        <v>530</v>
      </c>
      <c r="K19" s="10" t="s">
        <v>752</v>
      </c>
      <c r="L19" s="10" t="s">
        <v>752</v>
      </c>
    </row>
    <row r="20" spans="2:12">
      <c r="B20" s="13" t="s">
        <v>417</v>
      </c>
      <c r="C20" s="13" t="s">
        <v>753</v>
      </c>
      <c r="D20" s="13" t="s">
        <v>753</v>
      </c>
      <c r="F20" s="13" t="s">
        <v>753</v>
      </c>
      <c r="G20" s="13" t="s">
        <v>519</v>
      </c>
      <c r="H20" s="13" t="s">
        <v>735</v>
      </c>
      <c r="J20" s="13" t="s">
        <v>530</v>
      </c>
      <c r="K20" s="13" t="s">
        <v>754</v>
      </c>
      <c r="L20" s="13" t="s">
        <v>754</v>
      </c>
    </row>
    <row r="21" spans="2:12">
      <c r="B21" s="10" t="s">
        <v>417</v>
      </c>
      <c r="C21" s="10" t="s">
        <v>755</v>
      </c>
      <c r="D21" s="10" t="s">
        <v>755</v>
      </c>
      <c r="F21" s="10" t="s">
        <v>755</v>
      </c>
      <c r="G21" s="10" t="s">
        <v>519</v>
      </c>
      <c r="H21" s="10" t="s">
        <v>735</v>
      </c>
      <c r="J21" s="10" t="s">
        <v>530</v>
      </c>
      <c r="K21" s="10" t="s">
        <v>756</v>
      </c>
      <c r="L21" s="10" t="s">
        <v>756</v>
      </c>
    </row>
    <row r="22" spans="2:12">
      <c r="B22" s="13" t="s">
        <v>417</v>
      </c>
      <c r="C22" s="13" t="s">
        <v>757</v>
      </c>
      <c r="D22" s="13" t="s">
        <v>757</v>
      </c>
      <c r="F22" s="13" t="s">
        <v>757</v>
      </c>
      <c r="G22" s="13" t="s">
        <v>519</v>
      </c>
      <c r="H22" s="13" t="s">
        <v>735</v>
      </c>
      <c r="J22" s="13" t="s">
        <v>530</v>
      </c>
      <c r="K22" s="13" t="s">
        <v>758</v>
      </c>
      <c r="L22" s="13" t="s">
        <v>758</v>
      </c>
    </row>
    <row r="23" spans="2:12">
      <c r="B23" s="10" t="s">
        <v>417</v>
      </c>
      <c r="C23" s="10" t="s">
        <v>759</v>
      </c>
      <c r="D23" s="10" t="s">
        <v>759</v>
      </c>
      <c r="F23" s="10" t="s">
        <v>759</v>
      </c>
      <c r="G23" s="10" t="s">
        <v>519</v>
      </c>
      <c r="H23" s="10" t="s">
        <v>735</v>
      </c>
      <c r="J23" s="10" t="s">
        <v>530</v>
      </c>
      <c r="K23" s="10" t="s">
        <v>760</v>
      </c>
      <c r="L23" s="10" t="s">
        <v>760</v>
      </c>
    </row>
    <row r="24" spans="2:12">
      <c r="B24" s="13" t="s">
        <v>417</v>
      </c>
      <c r="C24" s="13" t="s">
        <v>761</v>
      </c>
      <c r="D24" s="13" t="s">
        <v>761</v>
      </c>
      <c r="F24" s="13" t="s">
        <v>761</v>
      </c>
      <c r="G24" s="13" t="s">
        <v>519</v>
      </c>
      <c r="H24" s="13" t="s">
        <v>735</v>
      </c>
      <c r="J24" s="13" t="s">
        <v>530</v>
      </c>
      <c r="K24" s="13" t="s">
        <v>762</v>
      </c>
      <c r="L24" s="13" t="s">
        <v>762</v>
      </c>
    </row>
    <row r="25" spans="2:12">
      <c r="B25" s="10" t="s">
        <v>417</v>
      </c>
      <c r="C25" s="10" t="s">
        <v>763</v>
      </c>
      <c r="D25" s="10" t="s">
        <v>763</v>
      </c>
      <c r="F25" s="10" t="s">
        <v>763</v>
      </c>
      <c r="G25" s="10" t="s">
        <v>519</v>
      </c>
      <c r="H25" s="10" t="s">
        <v>735</v>
      </c>
      <c r="J25" s="10" t="s">
        <v>530</v>
      </c>
      <c r="K25" s="10" t="s">
        <v>764</v>
      </c>
      <c r="L25" s="10" t="s">
        <v>764</v>
      </c>
    </row>
    <row r="26" spans="2:12">
      <c r="B26" s="13" t="s">
        <v>417</v>
      </c>
      <c r="C26" s="13" t="s">
        <v>765</v>
      </c>
      <c r="D26" s="13" t="s">
        <v>765</v>
      </c>
      <c r="F26" s="13" t="s">
        <v>765</v>
      </c>
      <c r="G26" s="13" t="s">
        <v>519</v>
      </c>
      <c r="H26" s="13" t="s">
        <v>735</v>
      </c>
      <c r="J26" s="13" t="s">
        <v>530</v>
      </c>
      <c r="K26" s="13" t="s">
        <v>766</v>
      </c>
      <c r="L26" s="13" t="s">
        <v>766</v>
      </c>
    </row>
    <row r="27" spans="2:12">
      <c r="B27" s="10" t="s">
        <v>417</v>
      </c>
      <c r="C27" s="10" t="s">
        <v>767</v>
      </c>
      <c r="D27" s="10" t="s">
        <v>767</v>
      </c>
      <c r="F27" s="10" t="s">
        <v>767</v>
      </c>
      <c r="G27" s="10" t="s">
        <v>519</v>
      </c>
      <c r="H27" s="10" t="s">
        <v>735</v>
      </c>
      <c r="J27" s="10" t="s">
        <v>530</v>
      </c>
      <c r="K27" s="10" t="s">
        <v>768</v>
      </c>
      <c r="L27" s="10" t="s">
        <v>768</v>
      </c>
    </row>
    <row r="28" spans="2:12">
      <c r="B28" s="13" t="s">
        <v>417</v>
      </c>
      <c r="C28" s="13" t="s">
        <v>769</v>
      </c>
      <c r="D28" s="13" t="s">
        <v>769</v>
      </c>
      <c r="F28" s="13" t="s">
        <v>769</v>
      </c>
      <c r="G28" s="13" t="s">
        <v>519</v>
      </c>
      <c r="H28" s="13" t="s">
        <v>523</v>
      </c>
      <c r="J28" s="13" t="s">
        <v>530</v>
      </c>
      <c r="K28" s="13" t="s">
        <v>770</v>
      </c>
      <c r="L28" s="13" t="s">
        <v>770</v>
      </c>
    </row>
    <row r="29" spans="2:12">
      <c r="B29" s="10" t="s">
        <v>417</v>
      </c>
      <c r="C29" s="10" t="s">
        <v>771</v>
      </c>
      <c r="D29" s="10" t="s">
        <v>771</v>
      </c>
      <c r="F29" s="10" t="s">
        <v>771</v>
      </c>
      <c r="G29" s="10" t="s">
        <v>519</v>
      </c>
      <c r="H29" s="10" t="s">
        <v>735</v>
      </c>
      <c r="J29" s="10" t="s">
        <v>530</v>
      </c>
      <c r="K29" s="10" t="s">
        <v>772</v>
      </c>
      <c r="L29" s="10" t="s">
        <v>772</v>
      </c>
    </row>
    <row r="30" spans="2:12">
      <c r="B30" s="13" t="s">
        <v>417</v>
      </c>
      <c r="C30" s="13" t="s">
        <v>773</v>
      </c>
      <c r="D30" s="13" t="s">
        <v>773</v>
      </c>
      <c r="F30" s="13" t="s">
        <v>773</v>
      </c>
      <c r="G30" s="13" t="s">
        <v>519</v>
      </c>
      <c r="H30" s="13" t="s">
        <v>735</v>
      </c>
      <c r="J30" s="13" t="s">
        <v>530</v>
      </c>
      <c r="K30" s="13" t="s">
        <v>774</v>
      </c>
      <c r="L30" s="13" t="s">
        <v>774</v>
      </c>
    </row>
    <row r="31" spans="2:12">
      <c r="B31" s="10" t="s">
        <v>417</v>
      </c>
      <c r="C31" s="10" t="s">
        <v>775</v>
      </c>
      <c r="D31" s="10" t="s">
        <v>775</v>
      </c>
      <c r="F31" s="10" t="s">
        <v>775</v>
      </c>
      <c r="G31" s="10" t="s">
        <v>519</v>
      </c>
      <c r="H31" s="10" t="s">
        <v>735</v>
      </c>
      <c r="J31" s="10" t="s">
        <v>530</v>
      </c>
      <c r="K31" s="10" t="s">
        <v>776</v>
      </c>
      <c r="L31" s="10" t="s">
        <v>776</v>
      </c>
    </row>
    <row r="32" spans="2:12">
      <c r="B32" s="13" t="s">
        <v>417</v>
      </c>
      <c r="C32" s="13" t="s">
        <v>777</v>
      </c>
      <c r="D32" s="13" t="s">
        <v>777</v>
      </c>
      <c r="F32" s="13" t="s">
        <v>777</v>
      </c>
      <c r="G32" s="13" t="s">
        <v>519</v>
      </c>
      <c r="H32" s="13" t="s">
        <v>735</v>
      </c>
      <c r="J32" s="13" t="s">
        <v>530</v>
      </c>
      <c r="K32" s="13" t="s">
        <v>778</v>
      </c>
      <c r="L32" s="13" t="s">
        <v>778</v>
      </c>
    </row>
    <row r="33" spans="2:12">
      <c r="B33" s="10" t="s">
        <v>417</v>
      </c>
      <c r="C33" s="10" t="s">
        <v>779</v>
      </c>
      <c r="D33" s="10" t="s">
        <v>779</v>
      </c>
      <c r="F33" s="10" t="s">
        <v>779</v>
      </c>
      <c r="G33" s="10" t="s">
        <v>519</v>
      </c>
      <c r="H33" s="10" t="s">
        <v>735</v>
      </c>
      <c r="J33" s="10" t="s">
        <v>530</v>
      </c>
      <c r="K33" s="10" t="s">
        <v>780</v>
      </c>
      <c r="L33" s="10" t="s">
        <v>780</v>
      </c>
    </row>
    <row r="34" spans="2:12">
      <c r="B34" s="13" t="s">
        <v>417</v>
      </c>
      <c r="C34" s="13" t="s">
        <v>781</v>
      </c>
      <c r="D34" s="13" t="s">
        <v>781</v>
      </c>
      <c r="F34" s="13" t="s">
        <v>781</v>
      </c>
      <c r="G34" s="13" t="s">
        <v>519</v>
      </c>
      <c r="H34" s="13" t="s">
        <v>735</v>
      </c>
      <c r="J34" s="13" t="s">
        <v>530</v>
      </c>
      <c r="K34" s="13" t="s">
        <v>782</v>
      </c>
      <c r="L34" s="13" t="s">
        <v>782</v>
      </c>
    </row>
    <row r="35" spans="2:12">
      <c r="B35" s="10" t="s">
        <v>417</v>
      </c>
      <c r="C35" s="10" t="s">
        <v>783</v>
      </c>
      <c r="D35" s="10" t="s">
        <v>783</v>
      </c>
      <c r="F35" s="10" t="s">
        <v>783</v>
      </c>
      <c r="G35" s="10" t="s">
        <v>519</v>
      </c>
      <c r="H35" s="10" t="s">
        <v>735</v>
      </c>
      <c r="J35" s="10" t="s">
        <v>530</v>
      </c>
      <c r="K35" s="10" t="s">
        <v>784</v>
      </c>
      <c r="L35" s="10" t="s">
        <v>784</v>
      </c>
    </row>
    <row r="36" spans="2:12">
      <c r="B36" s="13" t="s">
        <v>417</v>
      </c>
      <c r="C36" s="13" t="s">
        <v>785</v>
      </c>
      <c r="D36" s="13" t="s">
        <v>785</v>
      </c>
      <c r="F36" s="13" t="s">
        <v>785</v>
      </c>
      <c r="G36" s="13" t="s">
        <v>519</v>
      </c>
      <c r="H36" s="13" t="s">
        <v>735</v>
      </c>
      <c r="J36" s="13" t="s">
        <v>530</v>
      </c>
      <c r="K36" s="13" t="s">
        <v>786</v>
      </c>
      <c r="L36" s="13" t="s">
        <v>786</v>
      </c>
    </row>
    <row r="37" spans="2:12">
      <c r="B37" s="10" t="s">
        <v>417</v>
      </c>
      <c r="C37" s="10" t="s">
        <v>787</v>
      </c>
      <c r="D37" s="10" t="s">
        <v>787</v>
      </c>
      <c r="F37" s="10" t="s">
        <v>787</v>
      </c>
      <c r="G37" s="10" t="s">
        <v>519</v>
      </c>
      <c r="H37" s="10" t="s">
        <v>735</v>
      </c>
      <c r="J37" s="10" t="s">
        <v>530</v>
      </c>
      <c r="K37" s="10" t="s">
        <v>788</v>
      </c>
      <c r="L37" s="10" t="s">
        <v>788</v>
      </c>
    </row>
    <row r="38" spans="2:12">
      <c r="B38" s="13" t="s">
        <v>417</v>
      </c>
      <c r="C38" s="13" t="s">
        <v>789</v>
      </c>
      <c r="D38" s="13" t="s">
        <v>789</v>
      </c>
      <c r="F38" s="13" t="s">
        <v>789</v>
      </c>
      <c r="G38" s="13" t="s">
        <v>519</v>
      </c>
      <c r="H38" s="13" t="s">
        <v>523</v>
      </c>
      <c r="J38" s="13" t="s">
        <v>530</v>
      </c>
      <c r="K38" s="13" t="s">
        <v>790</v>
      </c>
      <c r="L38" s="13" t="s">
        <v>790</v>
      </c>
    </row>
    <row r="39" spans="2:12">
      <c r="B39" s="10" t="s">
        <v>417</v>
      </c>
      <c r="C39" s="10" t="s">
        <v>791</v>
      </c>
      <c r="D39" s="10" t="s">
        <v>791</v>
      </c>
      <c r="F39" s="10" t="s">
        <v>791</v>
      </c>
      <c r="G39" s="10" t="s">
        <v>519</v>
      </c>
      <c r="H39" s="10" t="s">
        <v>735</v>
      </c>
      <c r="J39" s="10" t="s">
        <v>530</v>
      </c>
      <c r="K39" s="10" t="s">
        <v>792</v>
      </c>
      <c r="L39" s="10" t="s">
        <v>792</v>
      </c>
    </row>
    <row r="40" spans="2:12">
      <c r="B40" s="13" t="s">
        <v>417</v>
      </c>
      <c r="C40" s="13" t="s">
        <v>793</v>
      </c>
      <c r="D40" s="13" t="s">
        <v>793</v>
      </c>
      <c r="F40" s="13" t="s">
        <v>793</v>
      </c>
      <c r="G40" s="13" t="s">
        <v>519</v>
      </c>
      <c r="H40" s="13" t="s">
        <v>735</v>
      </c>
      <c r="J40" s="13" t="s">
        <v>530</v>
      </c>
      <c r="K40" s="13" t="s">
        <v>794</v>
      </c>
      <c r="L40" s="13" t="s">
        <v>794</v>
      </c>
    </row>
    <row r="41" spans="2:12">
      <c r="B41" s="10" t="s">
        <v>417</v>
      </c>
      <c r="C41" s="10" t="s">
        <v>795</v>
      </c>
      <c r="D41" s="10" t="s">
        <v>795</v>
      </c>
      <c r="F41" s="10" t="s">
        <v>795</v>
      </c>
      <c r="G41" s="10" t="s">
        <v>519</v>
      </c>
      <c r="H41" s="10" t="s">
        <v>529</v>
      </c>
      <c r="J41" s="10" t="s">
        <v>530</v>
      </c>
      <c r="K41" s="10" t="s">
        <v>796</v>
      </c>
      <c r="L41" s="10" t="s">
        <v>796</v>
      </c>
    </row>
    <row r="42" spans="2:12">
      <c r="B42" s="13" t="s">
        <v>417</v>
      </c>
      <c r="C42" s="13" t="s">
        <v>797</v>
      </c>
      <c r="D42" s="13" t="s">
        <v>797</v>
      </c>
      <c r="F42" s="13" t="s">
        <v>797</v>
      </c>
      <c r="G42" s="13" t="s">
        <v>519</v>
      </c>
      <c r="H42" s="13" t="s">
        <v>735</v>
      </c>
      <c r="J42" s="13" t="s">
        <v>530</v>
      </c>
      <c r="K42" s="13" t="s">
        <v>798</v>
      </c>
      <c r="L42" s="13" t="s">
        <v>798</v>
      </c>
    </row>
    <row r="43" spans="2:12">
      <c r="B43" s="10" t="s">
        <v>417</v>
      </c>
      <c r="C43" s="10" t="s">
        <v>799</v>
      </c>
      <c r="D43" s="10" t="s">
        <v>799</v>
      </c>
      <c r="F43" s="10" t="s">
        <v>799</v>
      </c>
      <c r="G43" s="10" t="s">
        <v>519</v>
      </c>
      <c r="H43" s="10" t="s">
        <v>529</v>
      </c>
      <c r="J43" s="10" t="s">
        <v>530</v>
      </c>
      <c r="K43" s="10" t="s">
        <v>800</v>
      </c>
      <c r="L43" s="10" t="s">
        <v>800</v>
      </c>
    </row>
    <row r="44" spans="2:12">
      <c r="B44" s="13" t="s">
        <v>417</v>
      </c>
      <c r="C44" s="13" t="s">
        <v>801</v>
      </c>
      <c r="D44" s="13" t="s">
        <v>801</v>
      </c>
      <c r="F44" s="13" t="s">
        <v>801</v>
      </c>
      <c r="G44" s="13" t="s">
        <v>519</v>
      </c>
      <c r="H44" s="13" t="s">
        <v>529</v>
      </c>
      <c r="J44" s="13" t="s">
        <v>530</v>
      </c>
      <c r="K44" s="13" t="s">
        <v>802</v>
      </c>
      <c r="L44" s="13" t="s">
        <v>802</v>
      </c>
    </row>
    <row r="45" spans="2:12">
      <c r="B45" s="10" t="s">
        <v>417</v>
      </c>
      <c r="C45" s="10" t="s">
        <v>803</v>
      </c>
      <c r="D45" s="10" t="s">
        <v>803</v>
      </c>
      <c r="F45" s="10" t="s">
        <v>803</v>
      </c>
      <c r="G45" s="10" t="s">
        <v>519</v>
      </c>
      <c r="H45" s="10" t="s">
        <v>529</v>
      </c>
      <c r="J45" s="10" t="s">
        <v>530</v>
      </c>
      <c r="K45" s="10" t="s">
        <v>804</v>
      </c>
      <c r="L45" s="10" t="s">
        <v>804</v>
      </c>
    </row>
    <row r="46" spans="2:12">
      <c r="B46" s="13" t="s">
        <v>417</v>
      </c>
      <c r="C46" s="13" t="s">
        <v>805</v>
      </c>
      <c r="D46" s="13" t="s">
        <v>805</v>
      </c>
      <c r="F46" s="13" t="s">
        <v>805</v>
      </c>
      <c r="G46" s="13" t="s">
        <v>519</v>
      </c>
      <c r="H46" s="13" t="s">
        <v>529</v>
      </c>
      <c r="J46" s="13" t="s">
        <v>530</v>
      </c>
      <c r="K46" s="13" t="s">
        <v>806</v>
      </c>
      <c r="L46" s="13" t="s">
        <v>806</v>
      </c>
    </row>
    <row r="47" spans="2:12">
      <c r="B47" s="10" t="s">
        <v>417</v>
      </c>
      <c r="C47" s="10" t="s">
        <v>807</v>
      </c>
      <c r="D47" s="10" t="s">
        <v>807</v>
      </c>
      <c r="F47" s="10" t="s">
        <v>807</v>
      </c>
      <c r="G47" s="10" t="s">
        <v>519</v>
      </c>
      <c r="H47" s="10" t="s">
        <v>529</v>
      </c>
      <c r="J47" s="10" t="s">
        <v>530</v>
      </c>
      <c r="K47" s="10" t="s">
        <v>808</v>
      </c>
      <c r="L47" s="10" t="s">
        <v>808</v>
      </c>
    </row>
    <row r="48" spans="2:12">
      <c r="B48" s="13" t="s">
        <v>417</v>
      </c>
      <c r="C48" s="13" t="s">
        <v>809</v>
      </c>
      <c r="D48" s="13" t="s">
        <v>809</v>
      </c>
      <c r="F48" s="13" t="s">
        <v>809</v>
      </c>
      <c r="G48" s="13" t="s">
        <v>519</v>
      </c>
      <c r="H48" s="13" t="s">
        <v>735</v>
      </c>
      <c r="J48" s="13" t="s">
        <v>530</v>
      </c>
      <c r="K48" s="13" t="s">
        <v>810</v>
      </c>
      <c r="L48" s="13" t="s">
        <v>810</v>
      </c>
    </row>
    <row r="49" spans="2:12">
      <c r="B49" s="10" t="s">
        <v>417</v>
      </c>
      <c r="C49" s="10" t="s">
        <v>811</v>
      </c>
      <c r="D49" s="10" t="s">
        <v>811</v>
      </c>
      <c r="F49" s="10" t="s">
        <v>811</v>
      </c>
      <c r="G49" s="10" t="s">
        <v>519</v>
      </c>
      <c r="H49" s="10" t="s">
        <v>529</v>
      </c>
      <c r="J49" s="10" t="s">
        <v>530</v>
      </c>
      <c r="K49" s="10" t="s">
        <v>812</v>
      </c>
      <c r="L49" s="10" t="s">
        <v>812</v>
      </c>
    </row>
    <row r="50" spans="2:12">
      <c r="B50" s="13" t="s">
        <v>417</v>
      </c>
      <c r="C50" s="13" t="s">
        <v>813</v>
      </c>
      <c r="D50" s="13" t="s">
        <v>813</v>
      </c>
      <c r="F50" s="13" t="s">
        <v>813</v>
      </c>
      <c r="G50" s="13" t="s">
        <v>519</v>
      </c>
      <c r="H50" s="13" t="s">
        <v>529</v>
      </c>
      <c r="J50" s="13" t="s">
        <v>530</v>
      </c>
      <c r="K50" s="13" t="s">
        <v>814</v>
      </c>
      <c r="L50" s="13" t="s">
        <v>814</v>
      </c>
    </row>
    <row r="51" spans="2:12">
      <c r="B51" s="10" t="s">
        <v>417</v>
      </c>
      <c r="C51" s="10" t="s">
        <v>815</v>
      </c>
      <c r="D51" s="10" t="s">
        <v>815</v>
      </c>
      <c r="F51" s="10" t="s">
        <v>815</v>
      </c>
      <c r="G51" s="10" t="s">
        <v>519</v>
      </c>
      <c r="H51" s="10" t="s">
        <v>523</v>
      </c>
      <c r="J51" s="10" t="s">
        <v>530</v>
      </c>
      <c r="K51" s="10" t="s">
        <v>816</v>
      </c>
      <c r="L51" s="10" t="s">
        <v>816</v>
      </c>
    </row>
    <row r="52" spans="2:12">
      <c r="B52" s="13" t="s">
        <v>417</v>
      </c>
      <c r="C52" s="13" t="s">
        <v>817</v>
      </c>
      <c r="D52" s="13" t="s">
        <v>817</v>
      </c>
      <c r="F52" s="13" t="s">
        <v>817</v>
      </c>
      <c r="G52" s="13" t="s">
        <v>519</v>
      </c>
      <c r="H52" s="13" t="s">
        <v>529</v>
      </c>
      <c r="J52" s="13" t="s">
        <v>530</v>
      </c>
      <c r="K52" s="13" t="s">
        <v>818</v>
      </c>
      <c r="L52" s="13" t="s">
        <v>818</v>
      </c>
    </row>
    <row r="53" spans="2:12">
      <c r="B53" s="10" t="s">
        <v>417</v>
      </c>
      <c r="C53" s="10" t="s">
        <v>819</v>
      </c>
      <c r="D53" s="10" t="s">
        <v>819</v>
      </c>
      <c r="F53" s="10" t="s">
        <v>819</v>
      </c>
      <c r="G53" s="10" t="s">
        <v>519</v>
      </c>
      <c r="H53" s="10" t="s">
        <v>529</v>
      </c>
      <c r="J53" s="10" t="s">
        <v>530</v>
      </c>
      <c r="K53" s="10" t="s">
        <v>820</v>
      </c>
      <c r="L53" s="10" t="s">
        <v>820</v>
      </c>
    </row>
    <row r="54" spans="2:12">
      <c r="B54" s="13" t="s">
        <v>417</v>
      </c>
      <c r="C54" s="13" t="s">
        <v>821</v>
      </c>
      <c r="D54" s="13" t="s">
        <v>821</v>
      </c>
      <c r="F54" s="13" t="s">
        <v>821</v>
      </c>
      <c r="G54" s="13" t="s">
        <v>519</v>
      </c>
      <c r="H54" s="13" t="s">
        <v>529</v>
      </c>
      <c r="J54" s="13" t="s">
        <v>530</v>
      </c>
      <c r="K54" s="13" t="s">
        <v>822</v>
      </c>
      <c r="L54" s="13" t="s">
        <v>822</v>
      </c>
    </row>
    <row r="55" spans="2:12">
      <c r="B55" s="10" t="s">
        <v>417</v>
      </c>
      <c r="C55" s="10" t="s">
        <v>823</v>
      </c>
      <c r="D55" s="10" t="s">
        <v>823</v>
      </c>
      <c r="F55" s="10" t="s">
        <v>823</v>
      </c>
      <c r="G55" s="10" t="s">
        <v>519</v>
      </c>
      <c r="H55" s="10" t="s">
        <v>529</v>
      </c>
      <c r="J55" s="10" t="s">
        <v>530</v>
      </c>
      <c r="K55" s="10" t="s">
        <v>824</v>
      </c>
      <c r="L55" s="10" t="s">
        <v>824</v>
      </c>
    </row>
    <row r="56" spans="2:12">
      <c r="B56" s="13" t="s">
        <v>417</v>
      </c>
      <c r="C56" s="13" t="s">
        <v>825</v>
      </c>
      <c r="D56" s="13" t="s">
        <v>825</v>
      </c>
      <c r="F56" s="13" t="s">
        <v>825</v>
      </c>
      <c r="G56" s="13" t="s">
        <v>519</v>
      </c>
      <c r="H56" s="13" t="s">
        <v>529</v>
      </c>
      <c r="J56" s="13" t="s">
        <v>530</v>
      </c>
      <c r="K56" s="13" t="s">
        <v>826</v>
      </c>
      <c r="L56" s="13" t="s">
        <v>826</v>
      </c>
    </row>
    <row r="57" spans="2:12">
      <c r="B57" s="10" t="s">
        <v>417</v>
      </c>
      <c r="C57" s="10" t="s">
        <v>827</v>
      </c>
      <c r="D57" s="10" t="s">
        <v>827</v>
      </c>
      <c r="F57" s="10" t="s">
        <v>827</v>
      </c>
      <c r="G57" s="10" t="s">
        <v>519</v>
      </c>
      <c r="H57" s="10" t="s">
        <v>529</v>
      </c>
      <c r="J57" s="10" t="s">
        <v>530</v>
      </c>
      <c r="K57" s="10" t="s">
        <v>828</v>
      </c>
      <c r="L57" s="10" t="s">
        <v>828</v>
      </c>
    </row>
    <row r="58" spans="2:12">
      <c r="B58" s="13" t="s">
        <v>417</v>
      </c>
      <c r="C58" s="13" t="s">
        <v>829</v>
      </c>
      <c r="D58" s="13" t="s">
        <v>829</v>
      </c>
      <c r="F58" s="13" t="s">
        <v>829</v>
      </c>
      <c r="G58" s="13" t="s">
        <v>519</v>
      </c>
      <c r="H58" s="13" t="s">
        <v>529</v>
      </c>
      <c r="J58" s="13" t="s">
        <v>530</v>
      </c>
      <c r="K58" s="13" t="s">
        <v>830</v>
      </c>
      <c r="L58" s="13" t="s">
        <v>830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98F3-819D-4E52-8C46-328862F6E4F3}">
  <dimension ref="A1:H58"/>
  <sheetViews>
    <sheetView tabSelected="1" workbookViewId="0">
      <selection sqref="A1:H1"/>
    </sheetView>
  </sheetViews>
  <sheetFormatPr defaultRowHeight="14.25"/>
  <cols>
    <col min="2" max="2" width="14" bestFit="1" customWidth="1"/>
    <col min="3" max="4" width="10.59765625" customWidth="1"/>
    <col min="6" max="6" width="16.6640625" bestFit="1" customWidth="1"/>
    <col min="7" max="8" width="10.59765625" customWidth="1"/>
  </cols>
  <sheetData>
    <row r="1" spans="1:8" ht="22.05" customHeight="1">
      <c r="A1" s="18" t="s">
        <v>518</v>
      </c>
      <c r="B1" s="18"/>
      <c r="C1" s="18"/>
      <c r="D1" s="18"/>
      <c r="E1" s="18"/>
      <c r="F1" s="18"/>
      <c r="G1" s="18"/>
      <c r="H1" s="18"/>
    </row>
    <row r="9" spans="1:8" ht="14.65" thickBot="1">
      <c r="B9" s="8" t="s">
        <v>631</v>
      </c>
      <c r="F9" s="8" t="s">
        <v>631</v>
      </c>
    </row>
    <row r="10" spans="1:8" ht="15.75" thickBot="1">
      <c r="B10" s="9" t="s">
        <v>410</v>
      </c>
      <c r="C10" s="9" t="s">
        <v>632</v>
      </c>
      <c r="D10" s="9" t="s">
        <v>633</v>
      </c>
      <c r="F10" s="9" t="s">
        <v>410</v>
      </c>
      <c r="G10" s="9" t="s">
        <v>632</v>
      </c>
      <c r="H10" s="9" t="s">
        <v>633</v>
      </c>
    </row>
    <row r="11" spans="1:8">
      <c r="B11" s="10" t="s">
        <v>734</v>
      </c>
      <c r="C11" s="12">
        <v>52.012052294738211</v>
      </c>
      <c r="D11" s="12">
        <v>-9.0596831999999914</v>
      </c>
      <c r="F11" s="10" t="s">
        <v>831</v>
      </c>
      <c r="G11" s="12">
        <v>52.012052294738211</v>
      </c>
      <c r="H11" s="12">
        <v>-9.0596831999999914</v>
      </c>
    </row>
    <row r="12" spans="1:8">
      <c r="B12" s="13" t="s">
        <v>737</v>
      </c>
      <c r="C12" s="15">
        <v>51.954195245049263</v>
      </c>
      <c r="D12" s="15">
        <v>-8.3192989795916148</v>
      </c>
      <c r="F12" s="13" t="s">
        <v>832</v>
      </c>
      <c r="G12" s="15">
        <v>51.954195245049263</v>
      </c>
      <c r="H12" s="15">
        <v>-8.3192989795916148</v>
      </c>
    </row>
    <row r="13" spans="1:8">
      <c r="B13" s="10" t="s">
        <v>739</v>
      </c>
      <c r="C13" s="12">
        <v>52.815172325423518</v>
      </c>
      <c r="D13" s="12">
        <v>-6.1476666720580218</v>
      </c>
      <c r="F13" s="10" t="s">
        <v>833</v>
      </c>
      <c r="G13" s="12">
        <v>52.815172325423518</v>
      </c>
      <c r="H13" s="12">
        <v>-6.1476666720580218</v>
      </c>
    </row>
    <row r="14" spans="1:8">
      <c r="B14" s="13" t="s">
        <v>741</v>
      </c>
      <c r="C14" s="15">
        <v>52.640117777764083</v>
      </c>
      <c r="D14" s="15">
        <v>-8.5456113189316465</v>
      </c>
      <c r="F14" s="13" t="s">
        <v>834</v>
      </c>
      <c r="G14" s="15">
        <v>52.640117777764083</v>
      </c>
      <c r="H14" s="15">
        <v>-8.5456113189316465</v>
      </c>
    </row>
    <row r="15" spans="1:8">
      <c r="B15" s="10" t="s">
        <v>743</v>
      </c>
      <c r="C15" s="12">
        <v>53.911673032838166</v>
      </c>
      <c r="D15" s="12">
        <v>-8.1238546776886675</v>
      </c>
      <c r="F15" s="10" t="s">
        <v>835</v>
      </c>
      <c r="G15" s="12">
        <v>53.911673032838166</v>
      </c>
      <c r="H15" s="12">
        <v>-8.1238546776886675</v>
      </c>
    </row>
    <row r="16" spans="1:8">
      <c r="B16" s="13" t="s">
        <v>745</v>
      </c>
      <c r="C16" s="15">
        <v>53.471225161269381</v>
      </c>
      <c r="D16" s="15">
        <v>-6.5675452956908984</v>
      </c>
      <c r="F16" s="13" t="s">
        <v>836</v>
      </c>
      <c r="G16" s="15">
        <v>53.471225161269381</v>
      </c>
      <c r="H16" s="15">
        <v>-6.5675452956908984</v>
      </c>
    </row>
    <row r="17" spans="2:8">
      <c r="B17" s="10" t="s">
        <v>747</v>
      </c>
      <c r="C17" s="12">
        <v>53.967254670843708</v>
      </c>
      <c r="D17" s="12">
        <v>-6.5658732306379779</v>
      </c>
      <c r="F17" s="10" t="s">
        <v>837</v>
      </c>
      <c r="G17" s="12">
        <v>53.967254670843708</v>
      </c>
      <c r="H17" s="12">
        <v>-6.5658732306379779</v>
      </c>
    </row>
    <row r="18" spans="2:8">
      <c r="B18" s="13" t="s">
        <v>749</v>
      </c>
      <c r="C18" s="15">
        <v>53.967482837315593</v>
      </c>
      <c r="D18" s="15">
        <v>-6.5656319954433302</v>
      </c>
      <c r="F18" s="13" t="s">
        <v>838</v>
      </c>
      <c r="G18" s="15">
        <v>53.967482837315593</v>
      </c>
      <c r="H18" s="15">
        <v>-6.5656319954433302</v>
      </c>
    </row>
    <row r="19" spans="2:8">
      <c r="B19" s="10" t="s">
        <v>751</v>
      </c>
      <c r="C19" s="12">
        <v>52.580185363214149</v>
      </c>
      <c r="D19" s="12">
        <v>-9.3963768124186657</v>
      </c>
      <c r="F19" s="10" t="s">
        <v>839</v>
      </c>
      <c r="G19" s="12">
        <v>52.580185363214149</v>
      </c>
      <c r="H19" s="12">
        <v>-9.3963768124186657</v>
      </c>
    </row>
    <row r="20" spans="2:8">
      <c r="B20" s="13" t="s">
        <v>753</v>
      </c>
      <c r="C20" s="15">
        <v>52.281581158980558</v>
      </c>
      <c r="D20" s="15">
        <v>-6.9917239484719547</v>
      </c>
      <c r="F20" s="13" t="s">
        <v>840</v>
      </c>
      <c r="G20" s="15">
        <v>52.281581158980558</v>
      </c>
      <c r="H20" s="15">
        <v>-6.9917239484719547</v>
      </c>
    </row>
    <row r="21" spans="2:8">
      <c r="B21" s="10" t="s">
        <v>755</v>
      </c>
      <c r="C21" s="12">
        <v>51.861189363482062</v>
      </c>
      <c r="D21" s="12">
        <v>-9.4102784719688728</v>
      </c>
      <c r="F21" s="10" t="s">
        <v>841</v>
      </c>
      <c r="G21" s="12">
        <v>51.861189363482062</v>
      </c>
      <c r="H21" s="12">
        <v>-9.4102784719688728</v>
      </c>
    </row>
    <row r="22" spans="2:8">
      <c r="B22" s="13" t="s">
        <v>757</v>
      </c>
      <c r="C22" s="15">
        <v>52.072042779049553</v>
      </c>
      <c r="D22" s="15">
        <v>-8.3325638397080972</v>
      </c>
      <c r="F22" s="13" t="s">
        <v>842</v>
      </c>
      <c r="G22" s="15">
        <v>52.072042779049553</v>
      </c>
      <c r="H22" s="15">
        <v>-8.3325638397080972</v>
      </c>
    </row>
    <row r="23" spans="2:8">
      <c r="B23" s="10" t="s">
        <v>759</v>
      </c>
      <c r="C23" s="12">
        <v>52.760509727206603</v>
      </c>
      <c r="D23" s="12">
        <v>-6.5255358800518746</v>
      </c>
      <c r="F23" s="10" t="s">
        <v>843</v>
      </c>
      <c r="G23" s="12">
        <v>52.760509727206603</v>
      </c>
      <c r="H23" s="12">
        <v>-6.5255358800518746</v>
      </c>
    </row>
    <row r="24" spans="2:8">
      <c r="B24" s="13" t="s">
        <v>761</v>
      </c>
      <c r="C24" s="15">
        <v>52.735315381372139</v>
      </c>
      <c r="D24" s="15">
        <v>-8.5169510801907826</v>
      </c>
      <c r="F24" s="13" t="s">
        <v>844</v>
      </c>
      <c r="G24" s="15">
        <v>52.735315381372139</v>
      </c>
      <c r="H24" s="15">
        <v>-8.5169510801907826</v>
      </c>
    </row>
    <row r="25" spans="2:8">
      <c r="B25" s="10" t="s">
        <v>763</v>
      </c>
      <c r="C25" s="12">
        <v>53.790092579296335</v>
      </c>
      <c r="D25" s="12">
        <v>-8.3547072936518028</v>
      </c>
      <c r="F25" s="10" t="s">
        <v>845</v>
      </c>
      <c r="G25" s="12">
        <v>53.790092579296335</v>
      </c>
      <c r="H25" s="12">
        <v>-8.3547072936518028</v>
      </c>
    </row>
    <row r="26" spans="2:8">
      <c r="B26" s="13" t="s">
        <v>765</v>
      </c>
      <c r="C26" s="15">
        <v>53.543956966701899</v>
      </c>
      <c r="D26" s="15">
        <v>-7.0762744865305542</v>
      </c>
      <c r="F26" s="13" t="s">
        <v>846</v>
      </c>
      <c r="G26" s="15">
        <v>53.543956966701899</v>
      </c>
      <c r="H26" s="15">
        <v>-7.0762744865305542</v>
      </c>
    </row>
    <row r="27" spans="2:8">
      <c r="B27" s="10" t="s">
        <v>767</v>
      </c>
      <c r="C27" s="12">
        <v>54.109490272793415</v>
      </c>
      <c r="D27" s="12">
        <v>-7.2467215280311246</v>
      </c>
      <c r="F27" s="10" t="s">
        <v>847</v>
      </c>
      <c r="G27" s="12">
        <v>54.109490272793415</v>
      </c>
      <c r="H27" s="12">
        <v>-7.2467215280311246</v>
      </c>
    </row>
    <row r="28" spans="2:8">
      <c r="B28" s="13" t="s">
        <v>769</v>
      </c>
      <c r="C28" s="15">
        <v>54.393978919867209</v>
      </c>
      <c r="D28" s="15">
        <v>-6.585388032929937</v>
      </c>
      <c r="F28" s="13" t="s">
        <v>848</v>
      </c>
      <c r="G28" s="15">
        <v>54.393978919867209</v>
      </c>
      <c r="H28" s="15">
        <v>-6.585388032929937</v>
      </c>
    </row>
    <row r="29" spans="2:8">
      <c r="B29" s="10" t="s">
        <v>771</v>
      </c>
      <c r="C29" s="12">
        <v>52.760509727206603</v>
      </c>
      <c r="D29" s="12">
        <v>-9.4102784719688728</v>
      </c>
      <c r="F29" s="10" t="s">
        <v>849</v>
      </c>
      <c r="G29" s="12">
        <v>52.760509727206603</v>
      </c>
      <c r="H29" s="12">
        <v>-9.4102784719688728</v>
      </c>
    </row>
    <row r="30" spans="2:8">
      <c r="B30" s="13" t="s">
        <v>773</v>
      </c>
      <c r="C30" s="15">
        <v>52.552683181845403</v>
      </c>
      <c r="D30" s="15">
        <v>-7.2152255191803123</v>
      </c>
      <c r="F30" s="13" t="s">
        <v>850</v>
      </c>
      <c r="G30" s="15">
        <v>52.552683181845403</v>
      </c>
      <c r="H30" s="15">
        <v>-7.2152255191803123</v>
      </c>
    </row>
    <row r="31" spans="2:8">
      <c r="B31" s="10" t="s">
        <v>775</v>
      </c>
      <c r="C31" s="12">
        <v>51.861189363482062</v>
      </c>
      <c r="D31" s="12">
        <v>-9.4102784719688728</v>
      </c>
      <c r="F31" s="10" t="s">
        <v>851</v>
      </c>
      <c r="G31" s="12">
        <v>51.861189363482062</v>
      </c>
      <c r="H31" s="12">
        <v>-9.4102784719688728</v>
      </c>
    </row>
    <row r="32" spans="2:8">
      <c r="B32" s="13" t="s">
        <v>777</v>
      </c>
      <c r="C32" s="15">
        <v>52.093717596229297</v>
      </c>
      <c r="D32" s="15">
        <v>-8.2576372523044377</v>
      </c>
      <c r="F32" s="13" t="s">
        <v>852</v>
      </c>
      <c r="G32" s="15">
        <v>52.093717596229297</v>
      </c>
      <c r="H32" s="15">
        <v>-8.2576372523044377</v>
      </c>
    </row>
    <row r="33" spans="2:8">
      <c r="B33" s="10" t="s">
        <v>779</v>
      </c>
      <c r="C33" s="12">
        <v>52.760509727206603</v>
      </c>
      <c r="D33" s="12">
        <v>-6.5255358800518746</v>
      </c>
      <c r="F33" s="10" t="s">
        <v>853</v>
      </c>
      <c r="G33" s="12">
        <v>52.760509727206603</v>
      </c>
      <c r="H33" s="12">
        <v>-6.5255358800518746</v>
      </c>
    </row>
    <row r="34" spans="2:8">
      <c r="B34" s="13" t="s">
        <v>781</v>
      </c>
      <c r="C34" s="15">
        <v>52.711310038732002</v>
      </c>
      <c r="D34" s="15">
        <v>-8.4867419454144475</v>
      </c>
      <c r="F34" s="13" t="s">
        <v>854</v>
      </c>
      <c r="G34" s="15">
        <v>52.711310038732002</v>
      </c>
      <c r="H34" s="15">
        <v>-8.4867419454144475</v>
      </c>
    </row>
    <row r="35" spans="2:8">
      <c r="B35" s="10" t="s">
        <v>783</v>
      </c>
      <c r="C35" s="12">
        <v>53.960824951018537</v>
      </c>
      <c r="D35" s="12">
        <v>-8.3655141509002355</v>
      </c>
      <c r="F35" s="10" t="s">
        <v>855</v>
      </c>
      <c r="G35" s="12">
        <v>53.960824951018537</v>
      </c>
      <c r="H35" s="12">
        <v>-8.3655141509002355</v>
      </c>
    </row>
    <row r="36" spans="2:8">
      <c r="B36" s="13" t="s">
        <v>785</v>
      </c>
      <c r="C36" s="15">
        <v>53.482206172211242</v>
      </c>
      <c r="D36" s="15">
        <v>-7.0144194204175445</v>
      </c>
      <c r="F36" s="13" t="s">
        <v>856</v>
      </c>
      <c r="G36" s="15">
        <v>53.482206172211242</v>
      </c>
      <c r="H36" s="15">
        <v>-7.0144194204175445</v>
      </c>
    </row>
    <row r="37" spans="2:8">
      <c r="B37" s="10" t="s">
        <v>787</v>
      </c>
      <c r="C37" s="12">
        <v>54.109490272793415</v>
      </c>
      <c r="D37" s="12">
        <v>-7.2467215280311246</v>
      </c>
      <c r="F37" s="10" t="s">
        <v>857</v>
      </c>
      <c r="G37" s="12">
        <v>54.109490272793415</v>
      </c>
      <c r="H37" s="12">
        <v>-7.2467215280311246</v>
      </c>
    </row>
    <row r="38" spans="2:8">
      <c r="B38" s="13" t="s">
        <v>789</v>
      </c>
      <c r="C38" s="15">
        <v>54.476259143500009</v>
      </c>
      <c r="D38" s="15">
        <v>-6.6934806958366249</v>
      </c>
      <c r="F38" s="13" t="s">
        <v>858</v>
      </c>
      <c r="G38" s="15">
        <v>54.476259143500009</v>
      </c>
      <c r="H38" s="15">
        <v>-6.6934806958366249</v>
      </c>
    </row>
    <row r="39" spans="2:8">
      <c r="B39" s="10" t="s">
        <v>791</v>
      </c>
      <c r="C39" s="12">
        <v>52.760509727206603</v>
      </c>
      <c r="D39" s="12">
        <v>-9.4102784719688728</v>
      </c>
      <c r="F39" s="10" t="s">
        <v>859</v>
      </c>
      <c r="G39" s="12">
        <v>52.760509727206603</v>
      </c>
      <c r="H39" s="12">
        <v>-9.4102784719688728</v>
      </c>
    </row>
    <row r="40" spans="2:8">
      <c r="B40" s="13" t="s">
        <v>793</v>
      </c>
      <c r="C40" s="15">
        <v>52.545054054566428</v>
      </c>
      <c r="D40" s="15">
        <v>-7.2046308980546554</v>
      </c>
      <c r="F40" s="13" t="s">
        <v>860</v>
      </c>
      <c r="G40" s="15">
        <v>52.545054054566428</v>
      </c>
      <c r="H40" s="15">
        <v>-7.2046308980546554</v>
      </c>
    </row>
    <row r="41" spans="2:8">
      <c r="B41" s="10" t="s">
        <v>795</v>
      </c>
      <c r="C41" s="12">
        <v>50.096035549969422</v>
      </c>
      <c r="D41" s="12">
        <v>-9.8420287277824894</v>
      </c>
      <c r="F41" s="10" t="s">
        <v>861</v>
      </c>
      <c r="G41" s="12">
        <v>50.096035549969422</v>
      </c>
      <c r="H41" s="12">
        <v>-9.8420287277824894</v>
      </c>
    </row>
    <row r="42" spans="2:8">
      <c r="B42" s="13" t="s">
        <v>797</v>
      </c>
      <c r="C42" s="15">
        <v>51.765003415912112</v>
      </c>
      <c r="D42" s="15">
        <v>-9.6471595970955395</v>
      </c>
      <c r="F42" s="13" t="s">
        <v>862</v>
      </c>
      <c r="G42" s="15">
        <v>51.765003415912112</v>
      </c>
      <c r="H42" s="15">
        <v>-9.6471595970955395</v>
      </c>
    </row>
    <row r="43" spans="2:8">
      <c r="B43" s="10" t="s">
        <v>799</v>
      </c>
      <c r="C43" s="12">
        <v>51.044664219290297</v>
      </c>
      <c r="D43" s="12">
        <v>-9.8745859906969944</v>
      </c>
      <c r="F43" s="10" t="s">
        <v>863</v>
      </c>
      <c r="G43" s="12">
        <v>51.044664219290297</v>
      </c>
      <c r="H43" s="12">
        <v>-9.8745859906969944</v>
      </c>
    </row>
    <row r="44" spans="2:8">
      <c r="B44" s="13" t="s">
        <v>801</v>
      </c>
      <c r="C44" s="15">
        <v>51.444253483773217</v>
      </c>
      <c r="D44" s="15">
        <v>-7.9085867229024016</v>
      </c>
      <c r="F44" s="13" t="s">
        <v>864</v>
      </c>
      <c r="G44" s="15">
        <v>51.444253483773217</v>
      </c>
      <c r="H44" s="15">
        <v>-7.9085867229024016</v>
      </c>
    </row>
    <row r="45" spans="2:8">
      <c r="B45" s="10" t="s">
        <v>803</v>
      </c>
      <c r="C45" s="12">
        <v>50.34154348748735</v>
      </c>
      <c r="D45" s="12">
        <v>-8.0850767564049786</v>
      </c>
      <c r="F45" s="10" t="s">
        <v>865</v>
      </c>
      <c r="G45" s="12">
        <v>50.34154348748735</v>
      </c>
      <c r="H45" s="12">
        <v>-8.0850767564049786</v>
      </c>
    </row>
    <row r="46" spans="2:8">
      <c r="B46" s="13" t="s">
        <v>805</v>
      </c>
      <c r="C46" s="15">
        <v>52.220429199259947</v>
      </c>
      <c r="D46" s="15">
        <v>-5.6802970131648891</v>
      </c>
      <c r="F46" s="13" t="s">
        <v>866</v>
      </c>
      <c r="G46" s="15">
        <v>52.220429199259947</v>
      </c>
      <c r="H46" s="15">
        <v>-5.6802970131648891</v>
      </c>
    </row>
    <row r="47" spans="2:8">
      <c r="B47" s="10" t="s">
        <v>807</v>
      </c>
      <c r="C47" s="12">
        <v>53.393828245127963</v>
      </c>
      <c r="D47" s="12">
        <v>-5.6169203171881792</v>
      </c>
      <c r="F47" s="10" t="s">
        <v>867</v>
      </c>
      <c r="G47" s="12">
        <v>53.393828245127963</v>
      </c>
      <c r="H47" s="12">
        <v>-5.6169203171881792</v>
      </c>
    </row>
    <row r="48" spans="2:8">
      <c r="B48" s="13" t="s">
        <v>809</v>
      </c>
      <c r="C48" s="15">
        <v>54.463170106986922</v>
      </c>
      <c r="D48" s="15">
        <v>-8.3102659038764202</v>
      </c>
      <c r="F48" s="13" t="s">
        <v>868</v>
      </c>
      <c r="G48" s="15">
        <v>54.463170106986922</v>
      </c>
      <c r="H48" s="15">
        <v>-8.3102659038764202</v>
      </c>
    </row>
    <row r="49" spans="2:8">
      <c r="B49" s="10" t="s">
        <v>811</v>
      </c>
      <c r="C49" s="12">
        <v>55.001050356853575</v>
      </c>
      <c r="D49" s="12">
        <v>-8.8633778286473373</v>
      </c>
      <c r="F49" s="10" t="s">
        <v>869</v>
      </c>
      <c r="G49" s="12">
        <v>55.001050356853575</v>
      </c>
      <c r="H49" s="12">
        <v>-8.8633778286473373</v>
      </c>
    </row>
    <row r="50" spans="2:8">
      <c r="B50" s="13" t="s">
        <v>813</v>
      </c>
      <c r="C50" s="15">
        <v>55.696005154729512</v>
      </c>
      <c r="D50" s="15">
        <v>-8.8970790886079882</v>
      </c>
      <c r="F50" s="13" t="s">
        <v>870</v>
      </c>
      <c r="G50" s="15">
        <v>55.696005154729512</v>
      </c>
      <c r="H50" s="15">
        <v>-8.8970790886079882</v>
      </c>
    </row>
    <row r="51" spans="2:8">
      <c r="B51" s="10" t="s">
        <v>815</v>
      </c>
      <c r="C51" s="12">
        <v>55.097174191047465</v>
      </c>
      <c r="D51" s="12">
        <v>-6.4898575910063254</v>
      </c>
      <c r="F51" s="10" t="s">
        <v>871</v>
      </c>
      <c r="G51" s="12">
        <v>55.097174191047465</v>
      </c>
      <c r="H51" s="12">
        <v>-6.4898575910063254</v>
      </c>
    </row>
    <row r="52" spans="2:8">
      <c r="B52" s="13" t="s">
        <v>817</v>
      </c>
      <c r="C52" s="15">
        <v>56.243592004360018</v>
      </c>
      <c r="D52" s="15">
        <v>-14.830677615986044</v>
      </c>
      <c r="F52" s="13" t="s">
        <v>872</v>
      </c>
      <c r="G52" s="15">
        <v>56.243592004360018</v>
      </c>
      <c r="H52" s="15">
        <v>-14.830677615986044</v>
      </c>
    </row>
    <row r="53" spans="2:8">
      <c r="B53" s="10" t="s">
        <v>819</v>
      </c>
      <c r="C53" s="12">
        <v>53.804368569103268</v>
      </c>
      <c r="D53" s="12">
        <v>-11.430596609169775</v>
      </c>
      <c r="F53" s="10" t="s">
        <v>873</v>
      </c>
      <c r="G53" s="12">
        <v>53.804368569103268</v>
      </c>
      <c r="H53" s="12">
        <v>-11.430596609169775</v>
      </c>
    </row>
    <row r="54" spans="2:8">
      <c r="B54" s="13" t="s">
        <v>821</v>
      </c>
      <c r="C54" s="15">
        <v>52.308334749134971</v>
      </c>
      <c r="D54" s="15">
        <v>-12.099245737355931</v>
      </c>
      <c r="F54" s="13" t="s">
        <v>874</v>
      </c>
      <c r="G54" s="15">
        <v>52.308334749134971</v>
      </c>
      <c r="H54" s="15">
        <v>-12.099245737355931</v>
      </c>
    </row>
    <row r="55" spans="2:8">
      <c r="B55" s="10" t="s">
        <v>823</v>
      </c>
      <c r="C55" s="12">
        <v>52.664301729319959</v>
      </c>
      <c r="D55" s="12">
        <v>-8.9855776176440028</v>
      </c>
      <c r="F55" s="10" t="s">
        <v>875</v>
      </c>
      <c r="G55" s="12">
        <v>52.664301729319959</v>
      </c>
      <c r="H55" s="12">
        <v>-8.9855776176440028</v>
      </c>
    </row>
    <row r="56" spans="2:8">
      <c r="B56" s="13" t="s">
        <v>825</v>
      </c>
      <c r="C56" s="15">
        <v>52.572561518412883</v>
      </c>
      <c r="D56" s="15">
        <v>-10.528470455415787</v>
      </c>
      <c r="F56" s="13" t="s">
        <v>876</v>
      </c>
      <c r="G56" s="15">
        <v>52.572561518412883</v>
      </c>
      <c r="H56" s="15">
        <v>-10.528470455415787</v>
      </c>
    </row>
    <row r="57" spans="2:8">
      <c r="B57" s="10" t="s">
        <v>827</v>
      </c>
      <c r="C57" s="12">
        <v>52.214650626637813</v>
      </c>
      <c r="D57" s="12">
        <v>-6.9665243977579046</v>
      </c>
      <c r="F57" s="10" t="s">
        <v>877</v>
      </c>
      <c r="G57" s="12">
        <v>52.214650626637813</v>
      </c>
      <c r="H57" s="12">
        <v>-6.9665243977579046</v>
      </c>
    </row>
    <row r="58" spans="2:8">
      <c r="B58" s="13" t="s">
        <v>829</v>
      </c>
      <c r="C58" s="15">
        <v>51.407770924622788</v>
      </c>
      <c r="D58" s="15">
        <v>-6.6904701058667735</v>
      </c>
      <c r="F58" s="13" t="s">
        <v>878</v>
      </c>
      <c r="G58" s="15">
        <v>51.407770924622788</v>
      </c>
      <c r="H58" s="15">
        <v>-6.6904701058667735</v>
      </c>
    </row>
  </sheetData>
  <mergeCells count="1">
    <mergeCell ref="A1:H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geolocation_GBR</vt:lpstr>
      <vt:lpstr>process_map_geo_GBR</vt:lpstr>
      <vt:lpstr>process map</vt:lpstr>
      <vt:lpstr>commodity map</vt:lpstr>
      <vt:lpstr>ATS</vt:lpstr>
      <vt:lpstr>UnitConv</vt:lpstr>
      <vt:lpstr>process_map_geo_IRL</vt:lpstr>
      <vt:lpstr>geolocation_IRL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2026-09-16T05:36:58Z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